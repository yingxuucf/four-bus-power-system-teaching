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a28eec744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2d43ebc644184098"/>
    <x:sheet xmlns:r="http://schemas.openxmlformats.org/officeDocument/2006/relationships" name="01_基准与母线" sheetId="2" r:id="R05827f95790849f4"/>
    <x:sheet xmlns:r="http://schemas.openxmlformats.org/officeDocument/2006/relationships" name="02_设备铭牌" sheetId="3" r:id="R394684a8f1114582"/>
    <x:sheet xmlns:r="http://schemas.openxmlformats.org/officeDocument/2006/relationships" name="03_标幺与序参数" sheetId="4" r:id="R5e63501f10204719"/>
    <x:sheet xmlns:r="http://schemas.openxmlformats.org/officeDocument/2006/relationships" name="04_运行与故障场景" sheetId="5" r:id="Rfa476f14f4fe4817"/>
    <x:sheet xmlns:r="http://schemas.openxmlformats.org/officeDocument/2006/relationships" name="05_潮流校验结果" sheetId="6" r:id="R6499a1ed2f4547c6"/>
    <x:sheet xmlns:r="http://schemas.openxmlformats.org/officeDocument/2006/relationships" name="06_频率短路与稳定" sheetId="7" r:id="Rf3ef77c4ee0d40a0"/>
    <x:sheet xmlns:r="http://schemas.openxmlformats.org/officeDocument/2006/relationships" name="07_讲次调用表" sheetId="8" r:id="R2f515f3146ad4fb9"/>
    <x:sheet xmlns:r="http://schemas.openxmlformats.org/officeDocument/2006/relationships" name="08_口径与版本" sheetId="9" r:id="R7eaf5ebe225f427a"/>
  </x:sheets>
</x:workbook>
</file>

<file path=xl/comments1.xml><?xml version="1.0" encoding="utf-8"?>
<x:comments xmlns:x="http://schemas.openxmlformats.org/spreadsheetml/2006/main">
  <x:authors>
    <x:author>tc={8406FE2E-1103-E9B0-2AF6-236E9ACB6E29}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全课程统一基准。若修改Sbase，基准阻抗、电流和部分公式结果会随之更新。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tc={155F96B1-84B7-656A-6B94-8DEF7B67ADBB}</x:author>
  </x:authors>
  <x:commentList>
    <x:comment ref="B3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课堂可修改故障切除时间，观察稳定判定与临界时间的关系。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0.00000"/>
    <x:numFmt numFmtId="203" formatCode="0.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sz val="10"/>
      <x:color rgb="FF9C6500"/>
      <x:name val="Carlito"/>
    </x:font>
    <x:font>
      <x:sz val="10"/>
      <x:color rgb="FF006100"/>
      <x:name val="Carlito"/>
    </x:font>
    <x:font>
      <x:b/>
      <x:sz val="10"/>
      <x:color rgb="FF111827"/>
      <x:name val="Microsoft YaHei"/>
    </x:font>
    <x:font>
      <x:sz val="10"/>
      <x:color rgb="FF111827"/>
      <x:name val="Microsoft YaHei"/>
    </x:font>
    <x:font>
      <x:i/>
      <x:sz val="10"/>
      <x:color rgb="FF111827"/>
      <x:name val="Microsoft YaHei"/>
    </x:font>
    <x:font>
      <x:b/>
      <x:sz val="18"/>
      <x:color rgb="FFFFFFFF"/>
      <x:name val="Microsoft YaHei"/>
    </x:font>
    <x:font>
      <x:i/>
      <x:sz val="10"/>
      <x:color rgb="FF17365D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horizontal="right" vertical="center" wrapText="1"/>
    </x:xf>
    <x:xf numFmtId="200" fontId="5" fillId="0" borderId="5" xfId="0" applyNumberFormat="1" applyFont="1" applyFill="1" applyBorder="1" applyAlignment="1">
      <x:alignment horizontal="right" vertical="center" wrapText="1"/>
    </x:xf>
    <x:xf numFmtId="200" fontId="5" fillId="0" borderId="6" xfId="0" applyNumberFormat="1" applyFont="1" applyFill="1" applyBorder="1" applyAlignment="1">
      <x:alignment horizontal="right"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201" fontId="6" fillId="4" borderId="4" xfId="0" applyNumberFormat="1" applyFont="1" applyFill="1" applyBorder="1" applyAlignment="1">
      <x:alignment vertical="center" wrapText="1"/>
    </x:xf>
    <x:xf numFmtId="201" fontId="6" fillId="4" borderId="5" xfId="0" applyNumberFormat="1" applyFont="1" applyFill="1" applyBorder="1" applyAlignment="1">
      <x:alignment vertical="center" wrapText="1"/>
    </x:xf>
    <x:xf numFmtId="201" fontId="7" fillId="5" borderId="6" xfId="0" applyNumberFormat="1" applyFont="1" applyFill="1" applyBorder="1" applyAlignment="1">
      <x:alignment vertical="center" wrapText="1"/>
    </x:xf>
    <x:xf numFmtId="201" fontId="6" fillId="4" borderId="4" xfId="0" applyNumberFormat="1" applyFont="1" applyFill="1" applyBorder="1" applyAlignment="1">
      <x:alignment horizontal="right" vertical="center" wrapText="1"/>
    </x:xf>
    <x:xf numFmtId="201" fontId="6" fillId="4" borderId="5" xfId="0" applyNumberFormat="1" applyFont="1" applyFill="1" applyBorder="1" applyAlignment="1">
      <x:alignment horizontal="right" vertical="center" wrapText="1"/>
    </x:xf>
    <x:xf numFmtId="201" fontId="7" fillId="5" borderId="6" xfId="0" applyNumberFormat="1" applyFont="1" applyFill="1" applyBorder="1" applyAlignment="1">
      <x:alignment horizontal="right"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200" fontId="6" fillId="4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 wrapText="1"/>
    </x:xf>
    <x:xf numFmtId="200" fontId="6" fillId="4" borderId="5" xfId="0" applyNumberFormat="1" applyFont="1" applyFill="1" applyBorder="1" applyAlignment="1">
      <x:alignment vertical="center" wrapText="1"/>
    </x:xf>
    <x:xf numFmtId="200" fontId="7" fillId="5" borderId="5" xfId="0" applyNumberFormat="1" applyFont="1" applyFill="1" applyBorder="1" applyAlignment="1">
      <x:alignment vertical="center" wrapText="1"/>
    </x:xf>
    <x:xf numFmtId="200" fontId="6" fillId="4" borderId="4" xfId="0" applyNumberFormat="1" applyFont="1" applyFill="1" applyBorder="1" applyAlignment="1">
      <x:alignment horizontal="right" vertical="center" wrapText="1"/>
    </x:xf>
    <x:xf numFmtId="200" fontId="7" fillId="5" borderId="4" xfId="0" applyNumberFormat="1" applyFont="1" applyFill="1" applyBorder="1" applyAlignment="1">
      <x:alignment horizontal="right" vertical="center" wrapText="1"/>
    </x:xf>
    <x:xf numFmtId="200" fontId="6" fillId="4" borderId="5" xfId="0" applyNumberFormat="1" applyFont="1" applyFill="1" applyBorder="1" applyAlignment="1">
      <x:alignment horizontal="right" vertical="center" wrapText="1"/>
    </x:xf>
    <x:xf numFmtId="200" fontId="7" fillId="5" borderId="5" xfId="0" applyNumberFormat="1" applyFont="1" applyFill="1" applyBorder="1" applyAlignment="1">
      <x:alignment horizontal="right" vertical="center" wrapText="1"/>
    </x:xf>
    <x:xf numFmtId="202" fontId="6" fillId="4" borderId="4" xfId="0" applyNumberFormat="1" applyFont="1" applyFill="1" applyBorder="1" applyAlignment="1">
      <x:alignment vertical="center" wrapText="1"/>
    </x:xf>
    <x:xf numFmtId="202" fontId="7" fillId="5" borderId="4" xfId="0" applyNumberFormat="1" applyFont="1" applyFill="1" applyBorder="1" applyAlignment="1">
      <x:alignment vertical="center" wrapText="1"/>
    </x:xf>
    <x:xf numFmtId="202" fontId="6" fillId="4" borderId="5" xfId="0" applyNumberFormat="1" applyFont="1" applyFill="1" applyBorder="1" applyAlignment="1">
      <x:alignment vertical="center" wrapText="1"/>
    </x:xf>
    <x:xf numFmtId="202" fontId="7" fillId="5" borderId="5" xfId="0" applyNumberFormat="1" applyFont="1" applyFill="1" applyBorder="1" applyAlignment="1">
      <x:alignment vertical="center" wrapText="1"/>
    </x:xf>
    <x:xf numFmtId="202" fontId="6" fillId="4" borderId="6" xfId="0" applyNumberFormat="1" applyFont="1" applyFill="1" applyBorder="1" applyAlignment="1">
      <x:alignment vertical="center" wrapText="1"/>
    </x:xf>
    <x:xf numFmtId="202" fontId="7" fillId="5" borderId="6" xfId="0" applyNumberFormat="1" applyFont="1" applyFill="1" applyBorder="1" applyAlignment="1">
      <x:alignment vertical="center" wrapText="1"/>
    </x:xf>
    <x:xf numFmtId="202" fontId="6" fillId="4" borderId="4" xfId="0" applyNumberFormat="1" applyFont="1" applyFill="1" applyBorder="1" applyAlignment="1">
      <x:alignment horizontal="right" vertical="center" wrapText="1"/>
    </x:xf>
    <x:xf numFmtId="202" fontId="7" fillId="5" borderId="4" xfId="0" applyNumberFormat="1" applyFont="1" applyFill="1" applyBorder="1" applyAlignment="1">
      <x:alignment horizontal="right" vertical="center" wrapText="1"/>
    </x:xf>
    <x:xf numFmtId="202" fontId="6" fillId="4" borderId="5" xfId="0" applyNumberFormat="1" applyFont="1" applyFill="1" applyBorder="1" applyAlignment="1">
      <x:alignment horizontal="right" vertical="center" wrapText="1"/>
    </x:xf>
    <x:xf numFmtId="202" fontId="7" fillId="5" borderId="5" xfId="0" applyNumberFormat="1" applyFont="1" applyFill="1" applyBorder="1" applyAlignment="1">
      <x:alignment horizontal="right" vertical="center" wrapText="1"/>
    </x:xf>
    <x:xf numFmtId="202" fontId="6" fillId="4" borderId="6" xfId="0" applyNumberFormat="1" applyFont="1" applyFill="1" applyBorder="1" applyAlignment="1">
      <x:alignment horizontal="right" vertical="center" wrapText="1"/>
    </x:xf>
    <x:xf numFmtId="202" fontId="7" fillId="5" borderId="6" xfId="0" applyNumberFormat="1" applyFont="1" applyFill="1" applyBorder="1" applyAlignment="1">
      <x:alignment horizontal="right" vertical="center" wrapText="1"/>
    </x:xf>
    <x:xf numFmtId="201" fontId="6" fillId="4" borderId="6" xfId="0" applyNumberFormat="1" applyFont="1" applyFill="1" applyBorder="1" applyAlignment="1">
      <x:alignment vertical="center" wrapText="1"/>
    </x:xf>
    <x:xf numFmtId="201" fontId="6" fillId="4" borderId="6" xfId="0" applyNumberFormat="1" applyFont="1" applyFill="1" applyBorder="1" applyAlignment="1">
      <x:alignment horizontal="right" vertical="center" wrapText="1"/>
    </x:xf>
    <x:xf numFmtId="203" fontId="6" fillId="4" borderId="4" xfId="0" applyNumberFormat="1" applyFont="1" applyFill="1" applyBorder="1" applyAlignment="1">
      <x:alignment vertical="center" wrapText="1"/>
    </x:xf>
    <x:xf numFmtId="203" fontId="6" fillId="4" borderId="5" xfId="0" applyNumberFormat="1" applyFont="1" applyFill="1" applyBorder="1" applyAlignment="1">
      <x:alignment vertical="center" wrapText="1"/>
    </x:xf>
    <x:xf numFmtId="203" fontId="6" fillId="4" borderId="6" xfId="0" applyNumberFormat="1" applyFont="1" applyFill="1" applyBorder="1" applyAlignment="1">
      <x:alignment vertical="center" wrapText="1"/>
    </x:xf>
    <x:xf numFmtId="203" fontId="6" fillId="4" borderId="4" xfId="0" applyNumberFormat="1" applyFont="1" applyFill="1" applyBorder="1" applyAlignment="1">
      <x:alignment horizontal="right" vertical="center" wrapText="1"/>
    </x:xf>
    <x:xf numFmtId="203" fontId="6" fillId="4" borderId="5" xfId="0" applyNumberFormat="1" applyFont="1" applyFill="1" applyBorder="1" applyAlignment="1">
      <x:alignment horizontal="right" vertical="center" wrapText="1"/>
    </x:xf>
    <x:xf numFmtId="203" fontId="6" fillId="4" borderId="6" xfId="0" applyNumberFormat="1" applyFont="1" applyFill="1" applyBorder="1" applyAlignment="1">
      <x:alignment horizontal="right" vertical="center" wrapText="1"/>
    </x:xf>
    <x:xf numFmtId="202" fontId="5" fillId="0" borderId="4" xfId="0" applyNumberFormat="1" applyFont="1" applyFill="1" applyBorder="1" applyAlignment="1">
      <x:alignment vertical="center" wrapText="1"/>
    </x:xf>
    <x:xf numFmtId="202" fontId="5" fillId="0" borderId="5" xfId="0" applyNumberFormat="1" applyFont="1" applyFill="1" applyBorder="1" applyAlignment="1">
      <x:alignment vertical="center" wrapText="1"/>
    </x:xf>
    <x:xf numFmtId="202" fontId="5" fillId="0" borderId="4" xfId="0" applyNumberFormat="1" applyFont="1" applyFill="1" applyBorder="1" applyAlignment="1">
      <x:alignment horizontal="right" vertical="center" wrapText="1"/>
    </x:xf>
    <x:xf numFmtId="202" fontId="5" fillId="0" borderId="5" xfId="0" applyNumberFormat="1" applyFont="1" applyFill="1" applyBorder="1" applyAlignment="1">
      <x:alignment horizontal="right" vertical="center" wrapText="1"/>
    </x:xf>
    <x:xf numFmtId="201" fontId="5" fillId="0" borderId="4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1" fontId="5" fillId="0" borderId="4" xfId="0" applyNumberFormat="1" applyFont="1" applyFill="1" applyBorder="1" applyAlignment="1">
      <x:alignment horizontal="right" vertical="center" wrapText="1"/>
    </x:xf>
    <x:xf numFmtId="201" fontId="5" fillId="0" borderId="5" xfId="0" applyNumberFormat="1" applyFont="1" applyFill="1" applyBorder="1" applyAlignment="1">
      <x:alignment horizontal="right" vertical="center" wrapText="1"/>
    </x:xf>
    <x:xf numFmtId="201" fontId="7" fillId="5" borderId="4" xfId="0" applyNumberFormat="1" applyFont="1" applyFill="1" applyBorder="1" applyAlignment="1">
      <x:alignment vertical="center" wrapText="1"/>
    </x:xf>
    <x:xf numFmtId="201" fontId="7" fillId="5" borderId="5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center" wrapText="1"/>
    </x:xf>
    <x:xf numFmtId="201" fontId="7" fillId="5" borderId="4" xfId="0" applyNumberFormat="1" applyFont="1" applyFill="1" applyBorder="1" applyAlignment="1">
      <x:alignment horizontal="right" vertical="center" wrapText="1"/>
    </x:xf>
    <x:xf numFmtId="201" fontId="7" fillId="5" borderId="5" xfId="0" applyNumberFormat="1" applyFont="1" applyFill="1" applyBorder="1" applyAlignment="1">
      <x:alignment horizontal="right" vertical="center" wrapText="1"/>
    </x:xf>
    <x:xf numFmtId="201" fontId="5" fillId="0" borderId="6" xfId="0" applyNumberFormat="1" applyFont="1" applyFill="1" applyBorder="1" applyAlignment="1">
      <x:alignment horizontal="right"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2" borderId="1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200" fontId="9" fillId="0" borderId="4" xfId="0" applyNumberFormat="1" applyFont="1" applyFill="1" applyBorder="1" applyAlignment="1">
      <x:alignment horizontal="right" vertical="center" wrapText="1"/>
    </x:xf>
    <x:xf numFmtId="200" fontId="9" fillId="0" borderId="5" xfId="0" applyNumberFormat="1" applyFont="1" applyFill="1" applyBorder="1" applyAlignment="1">
      <x:alignment horizontal="right" vertical="center" wrapText="1"/>
    </x:xf>
    <x:xf numFmtId="200" fontId="9" fillId="0" borderId="6" xfId="0" applyNumberFormat="1" applyFont="1" applyFill="1" applyBorder="1" applyAlignment="1">
      <x:alignment horizontal="right"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201" fontId="9" fillId="4" borderId="4" xfId="0" applyNumberFormat="1" applyFont="1" applyFill="1" applyBorder="1" applyAlignment="1">
      <x:alignment horizontal="right" vertical="center" wrapText="1"/>
    </x:xf>
    <x:xf numFmtId="201" fontId="9" fillId="4" borderId="5" xfId="0" applyNumberFormat="1" applyFont="1" applyFill="1" applyBorder="1" applyAlignment="1">
      <x:alignment horizontal="right" vertical="center" wrapText="1"/>
    </x:xf>
    <x:xf numFmtId="201" fontId="9" fillId="5" borderId="6" xfId="0" applyNumberFormat="1" applyFont="1" applyFill="1" applyBorder="1" applyAlignment="1">
      <x:alignment horizontal="right"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0" fontId="9" fillId="4" borderId="6" xfId="0" applyNumberFormat="1" applyFont="1" applyFill="1" applyBorder="1" applyAlignment="1">
      <x:alignment vertical="center" wrapText="1"/>
    </x:xf>
    <x:xf numFmtId="200" fontId="9" fillId="4" borderId="4" xfId="0" applyNumberFormat="1" applyFont="1" applyFill="1" applyBorder="1" applyAlignment="1">
      <x:alignment horizontal="right" vertical="center" wrapText="1"/>
    </x:xf>
    <x:xf numFmtId="200" fontId="9" fillId="5" borderId="4" xfId="0" applyNumberFormat="1" applyFont="1" applyFill="1" applyBorder="1" applyAlignment="1">
      <x:alignment horizontal="right" vertical="center" wrapText="1"/>
    </x:xf>
    <x:xf numFmtId="200" fontId="9" fillId="4" borderId="5" xfId="0" applyNumberFormat="1" applyFont="1" applyFill="1" applyBorder="1" applyAlignment="1">
      <x:alignment horizontal="right" vertical="center" wrapText="1"/>
    </x:xf>
    <x:xf numFmtId="200" fontId="9" fillId="5" borderId="5" xfId="0" applyNumberFormat="1" applyFont="1" applyFill="1" applyBorder="1" applyAlignment="1">
      <x:alignment horizontal="right" vertical="center" wrapText="1"/>
    </x:xf>
    <x:xf numFmtId="202" fontId="9" fillId="4" borderId="4" xfId="0" applyNumberFormat="1" applyFont="1" applyFill="1" applyBorder="1" applyAlignment="1">
      <x:alignment horizontal="right" vertical="center" wrapText="1"/>
    </x:xf>
    <x:xf numFmtId="202" fontId="9" fillId="5" borderId="4" xfId="0" applyNumberFormat="1" applyFont="1" applyFill="1" applyBorder="1" applyAlignment="1">
      <x:alignment horizontal="right" vertical="center" wrapText="1"/>
    </x:xf>
    <x:xf numFmtId="202" fontId="9" fillId="4" borderId="5" xfId="0" applyNumberFormat="1" applyFont="1" applyFill="1" applyBorder="1" applyAlignment="1">
      <x:alignment horizontal="right" vertical="center" wrapText="1"/>
    </x:xf>
    <x:xf numFmtId="202" fontId="9" fillId="5" borderId="5" xfId="0" applyNumberFormat="1" applyFont="1" applyFill="1" applyBorder="1" applyAlignment="1">
      <x:alignment horizontal="right" vertical="center" wrapText="1"/>
    </x:xf>
    <x:xf numFmtId="202" fontId="9" fillId="4" borderId="6" xfId="0" applyNumberFormat="1" applyFont="1" applyFill="1" applyBorder="1" applyAlignment="1">
      <x:alignment horizontal="right" vertical="center" wrapText="1"/>
    </x:xf>
    <x:xf numFmtId="202" fontId="9" fillId="5" borderId="6" xfId="0" applyNumberFormat="1" applyFont="1" applyFill="1" applyBorder="1" applyAlignment="1">
      <x:alignment horizontal="right" vertical="center" wrapText="1"/>
    </x:xf>
    <x:xf numFmtId="201" fontId="9" fillId="4" borderId="6" xfId="0" applyNumberFormat="1" applyFont="1" applyFill="1" applyBorder="1" applyAlignment="1">
      <x:alignment horizontal="right" vertical="center" wrapText="1"/>
    </x:xf>
    <x:xf numFmtId="203" fontId="9" fillId="4" borderId="4" xfId="0" applyNumberFormat="1" applyFont="1" applyFill="1" applyBorder="1" applyAlignment="1">
      <x:alignment horizontal="right" vertical="center" wrapText="1"/>
    </x:xf>
    <x:xf numFmtId="203" fontId="9" fillId="4" borderId="5" xfId="0" applyNumberFormat="1" applyFont="1" applyFill="1" applyBorder="1" applyAlignment="1">
      <x:alignment horizontal="right" vertical="center" wrapText="1"/>
    </x:xf>
    <x:xf numFmtId="203" fontId="9" fillId="4" borderId="6" xfId="0" applyNumberFormat="1" applyFont="1" applyFill="1" applyBorder="1" applyAlignment="1">
      <x:alignment horizontal="right" vertical="center" wrapText="1"/>
    </x:xf>
    <x:xf numFmtId="202" fontId="9" fillId="0" borderId="4" xfId="0" applyNumberFormat="1" applyFont="1" applyFill="1" applyBorder="1" applyAlignment="1">
      <x:alignment horizontal="right" vertical="center" wrapText="1"/>
    </x:xf>
    <x:xf numFmtId="202" fontId="9" fillId="0" borderId="5" xfId="0" applyNumberFormat="1" applyFont="1" applyFill="1" applyBorder="1" applyAlignment="1">
      <x:alignment horizontal="right" vertical="center" wrapText="1"/>
    </x:xf>
    <x:xf numFmtId="201" fontId="9" fillId="0" borderId="4" xfId="0" applyNumberFormat="1" applyFont="1" applyFill="1" applyBorder="1" applyAlignment="1">
      <x:alignment horizontal="right" vertical="center" wrapText="1"/>
    </x:xf>
    <x:xf numFmtId="201" fontId="9" fillId="0" borderId="5" xfId="0" applyNumberFormat="1" applyFont="1" applyFill="1" applyBorder="1" applyAlignment="1">
      <x:alignment horizontal="right" vertical="center" wrapText="1"/>
    </x:xf>
    <x:xf numFmtId="201" fontId="9" fillId="5" borderId="4" xfId="0" applyNumberFormat="1" applyFont="1" applyFill="1" applyBorder="1" applyAlignment="1">
      <x:alignment horizontal="right" vertical="center" wrapText="1"/>
    </x:xf>
    <x:xf numFmtId="201" fontId="9" fillId="5" borderId="5" xfId="0" applyNumberFormat="1" applyFont="1" applyFill="1" applyBorder="1" applyAlignment="1">
      <x:alignment horizontal="right" vertical="center" wrapText="1"/>
    </x:xf>
    <x:xf numFmtId="201" fontId="9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032d16e5a47ef" /><Relationship Type="http://schemas.openxmlformats.org/officeDocument/2006/relationships/theme" Target="/xl/theme/theme1.xml" Id="R43b276bc2e0e4b4a" /><Relationship Type="http://schemas.openxmlformats.org/officeDocument/2006/relationships/sharedStrings" Target="/xl/sharedStrings.xml" Id="R93b715adb8644c9a" /><Relationship Type="http://schemas.openxmlformats.org/officeDocument/2006/relationships/worksheet" Target="/xl/worksheets/sheet1.xml" Id="R2d43ebc644184098" /><Relationship Type="http://schemas.openxmlformats.org/officeDocument/2006/relationships/worksheet" Target="/xl/worksheets/sheet2.xml" Id="R05827f95790849f4" /><Relationship Type="http://schemas.openxmlformats.org/officeDocument/2006/relationships/worksheet" Target="/xl/worksheets/sheet3.xml" Id="R394684a8f1114582" /><Relationship Type="http://schemas.openxmlformats.org/officeDocument/2006/relationships/worksheet" Target="/xl/worksheets/sheet4.xml" Id="R5e63501f10204719" /><Relationship Type="http://schemas.openxmlformats.org/officeDocument/2006/relationships/worksheet" Target="/xl/worksheets/sheet5.xml" Id="Rfa476f14f4fe4817" /><Relationship Type="http://schemas.openxmlformats.org/officeDocument/2006/relationships/worksheet" Target="/xl/worksheets/sheet6.xml" Id="R6499a1ed2f4547c6" /><Relationship Type="http://schemas.openxmlformats.org/officeDocument/2006/relationships/worksheet" Target="/xl/worksheets/sheet7.xml" Id="Rf3ef77c4ee0d40a0" /><Relationship Type="http://schemas.openxmlformats.org/officeDocument/2006/relationships/worksheet" Target="/xl/worksheets/sheet8.xml" Id="R2f515f3146ad4fb9" /><Relationship Type="http://schemas.openxmlformats.org/officeDocument/2006/relationships/worksheet" Target="/xl/worksheets/sheet9.xml" Id="R7eaf5ebe225f427a" /><Relationship Type="http://schemas.microsoft.com/office/2017/10/relationships/person" Target="/xl/persons/person.xml" Id="R32b53d300ca94458" /></Relationships>
</file>

<file path=xl/persons/person.xml><?xml version="1.0" encoding="utf-8"?>
<xltc:personList xmlns:xltc="http://schemas.microsoft.com/office/spreadsheetml/2018/threadedcomments">
  <xltc:person displayName="User" id="{B8FD23A4-F236-43C1-8836-A119CE7D956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01T05:19:07.584" personId="{B8FD23A4-F236-43C1-8836-A119CE7D9560}" id="{8406FE2E-1103-E9B0-2AF6-236E9ACB6E29}">
    <xltc:text>全课程统一基准。若修改Sbase，基准阻抗、电流和部分公式结果会随之更新。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31" dT="2026-08-01T05:19:07.585" personId="{B8FD23A4-F236-43C1-8836-A119CE7D9560}" id="{155F96B1-84B7-656A-6B94-8DEF7B67ADBB}">
    <xltc:text>课堂可修改故障切除时间，观察稳定判定与临界时间的关系。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a4758f953604a39" /><Relationship Type="http://schemas.openxmlformats.org/officeDocument/2006/relationships/vmlDrawing" Target="/xl/drawings/vmldrawing.vml" Id="R46309dc028ef4895" /><Relationship Type="http://schemas.microsoft.com/office/2017/10/relationships/threadedComment" Target="/xl/threadedcomments/threadedcomment.xml" Id="R370d1d413cc44c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13e1d4f5da4e43bd" /><Relationship Type="http://schemas.openxmlformats.org/officeDocument/2006/relationships/vmlDrawing" Target="/xl/drawings/vmldrawing2.vml" Id="R831231934ddd4a7d" /><Relationship Type="http://schemas.microsoft.com/office/2017/10/relationships/threadedComment" Target="/xl/threadedcomments/threadedcomment2.xml" Id="R789134da677944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</x:cols>
  <x:sheetData>
    <x:row r="1" ht="21.600000381469727" hidden="0" customHeight="1">
      <x:c r="A1" s="108" t="str">
        <x:v>贯穿案例：四母线双回线系统参数体系</x:v>
      </x:c>
      <x:c r="B1" s="96"/>
      <x:c r="C1" s="96"/>
      <x:c r="D1" s="96"/>
      <x:c r="E1" s="96"/>
      <x:c r="F1" s="96"/>
    </x:row>
    <x:row r="2" ht="15" hidden="0" customHeight="1">
      <x:c r="A2" s="109" t="str">
        <x:v>课堂主线使用同一母体系统；根据教学任务切换单电源、多电源、频率和稳定模型。黄色为可调输入，绿色为公式结果。</x:v>
      </x:c>
      <x:c r="B2" s="96"/>
      <x:c r="C2" s="96"/>
      <x:c r="D2" s="96"/>
      <x:c r="E2" s="96"/>
      <x:c r="F2" s="96"/>
    </x:row>
    <x:row r="3" ht="15" hidden="0" customHeight="1">
      <x:c r="A3" s="96"/>
      <x:c r="B3" s="96"/>
      <x:c r="C3" s="96"/>
      <x:c r="D3" s="96"/>
      <x:c r="E3" s="96"/>
      <x:c r="F3" s="96"/>
    </x:row>
    <x:row r="4" ht="15" hidden="0" customHeight="1">
      <x:c r="A4" s="98" t="str">
        <x:v>母体拓扑</x:v>
      </x:c>
      <x:c r="B4" s="96"/>
      <x:c r="C4" s="96"/>
      <x:c r="D4" s="96"/>
      <x:c r="E4" s="96"/>
      <x:c r="F4" s="96"/>
    </x:row>
    <x:row r="5" ht="15" hidden="0" customHeight="1">
      <x:c r="A5" s="99" t="str">
        <x:v>顺序</x:v>
      </x:c>
      <x:c r="B5" s="100" t="str">
        <x:v>设备/节点</x:v>
      </x:c>
      <x:c r="C5" s="100" t="str">
        <x:v>电压等级</x:v>
      </x:c>
      <x:c r="D5" s="100" t="str">
        <x:v>连接关系</x:v>
      </x:c>
      <x:c r="E5" s="100" t="str">
        <x:v>课堂角色</x:v>
      </x:c>
      <x:c r="F5" s="101" t="str">
        <x:v>是否常驻</x:v>
      </x:c>
    </x:row>
    <x:row r="6" ht="24" hidden="0" customHeight="1">
      <x:c r="A6" s="102" t="n">
        <x:v>1</x:v>
      </x:c>
      <x:c r="B6" s="102" t="str">
        <x:v>发电机G1 / 母线B1</x:v>
      </x:c>
      <x:c r="C6" s="102" t="n">
        <x:v>10.5</x:v>
      </x:c>
      <x:c r="D6" s="102" t="str">
        <x:v>G1—B1—T1</x:v>
      </x:c>
      <x:c r="E6" s="102" t="str">
        <x:v>主电源；平衡节点或有限惯量机组</x:v>
      </x:c>
      <x:c r="F6" s="102" t="str">
        <x:v>是</x:v>
      </x:c>
    </x:row>
    <x:row r="7" ht="24" hidden="0" customHeight="1">
      <x:c r="A7" s="103" t="n">
        <x:v>2</x:v>
      </x:c>
      <x:c r="B7" s="103" t="str">
        <x:v>T1 / 母线B2</x:v>
      </x:c>
      <x:c r="C7" s="103" t="n">
        <x:v>220</x:v>
      </x:c>
      <x:c r="D7" s="103" t="str">
        <x:v>B1—T1—B2</x:v>
      </x:c>
      <x:c r="E7" s="103" t="str">
        <x:v>升压与标幺制；零序隔离对比</x:v>
      </x:c>
      <x:c r="F7" s="103" t="str">
        <x:v>是</x:v>
      </x:c>
    </x:row>
    <x:row r="8" ht="15" hidden="0" customHeight="1">
      <x:c r="A8" s="103" t="n">
        <x:v>3</x:v>
      </x:c>
      <x:c r="B8" s="103" t="str">
        <x:v>双回线L1、L2 / 母线B3</x:v>
      </x:c>
      <x:c r="C8" s="103" t="n">
        <x:v>220</x:v>
      </x:c>
      <x:c r="D8" s="103" t="str">
        <x:v>B2—L1∥L2—B3</x:v>
      </x:c>
      <x:c r="E8" s="103" t="str">
        <x:v>潮流、N-1、线路故障与切除</x:v>
      </x:c>
      <x:c r="F8" s="103" t="str">
        <x:v>是</x:v>
      </x:c>
    </x:row>
    <x:row r="9" ht="24" hidden="0" customHeight="1">
      <x:c r="A9" s="104" t="n">
        <x:v>4</x:v>
      </x:c>
      <x:c r="B9" s="104" t="str">
        <x:v>T2 / 母线B4 / 负荷</x:v>
      </x:c>
      <x:c r="C9" s="104" t="n">
        <x:v>10.5</x:v>
      </x:c>
      <x:c r="D9" s="104" t="str">
        <x:v>B3—T2—B4—负荷</x:v>
      </x:c>
      <x:c r="E9" s="104" t="str">
        <x:v>电压降落、PQ负荷、不对称故障</x:v>
      </x:c>
      <x:c r="F9" s="104" t="str">
        <x:v>是</x:v>
      </x:c>
    </x:row>
    <x:row r="10" ht="15" hidden="0" customHeight="1">
      <x:c r="A10" s="96"/>
      <x:c r="B10" s="96"/>
      <x:c r="C10" s="96"/>
      <x:c r="D10" s="96"/>
      <x:c r="E10" s="96"/>
      <x:c r="F10" s="96"/>
    </x:row>
    <x:row r="11" ht="15" hidden="0" customHeight="1">
      <x:c r="A11" s="98" t="str">
        <x:v>四种模型模式</x:v>
      </x:c>
      <x:c r="B11" s="96"/>
      <x:c r="C11" s="96"/>
      <x:c r="D11" s="96"/>
      <x:c r="E11" s="96"/>
      <x:c r="F11" s="96"/>
    </x:row>
    <x:row r="12" ht="15" hidden="0" customHeight="1">
      <x:c r="A12" s="99" t="str">
        <x:v>模式</x:v>
      </x:c>
      <x:c r="B12" s="100" t="str">
        <x:v>G1角色</x:v>
      </x:c>
      <x:c r="C12" s="100" t="str">
        <x:v>B3外部系统角色</x:v>
      </x:c>
      <x:c r="D12" s="100" t="str">
        <x:v>适用讲次</x:v>
      </x:c>
      <x:c r="E12" s="100" t="str">
        <x:v>保留的主要元件</x:v>
      </x:c>
      <x:c r="F12" s="101" t="str">
        <x:v>教学目的</x:v>
      </x:c>
    </x:row>
    <x:row r="13" ht="15" hidden="0" customHeight="1">
      <x:c r="A13" s="102" t="str">
        <x:v>M1 单电源径向</x:v>
      </x:c>
      <x:c r="B13" s="102" t="str">
        <x:v>平衡节点，U1=1.04 p.u.</x:v>
      </x:c>
      <x:c r="C13" s="102" t="str">
        <x:v>断开</x:v>
      </x:c>
      <x:c r="D13" s="102" t="str">
        <x:v>第1—6讲</x:v>
      </x:c>
      <x:c r="E13" s="102" t="str">
        <x:v>G1、T1、双回线、T2、负荷</x:v>
      </x:c>
      <x:c r="F13" s="102" t="str">
        <x:v>手算潮流、电压降落、N-1</x:v>
      </x:c>
    </x:row>
    <x:row r="14" ht="24" hidden="0" customHeight="1">
      <x:c r="A14" s="103" t="str">
        <x:v>M2 多电源潮流</x:v>
      </x:c>
      <x:c r="B14" s="103" t="str">
        <x:v>平衡节点</x:v>
      </x:c>
      <x:c r="C14" s="103" t="str">
        <x:v>等值为PV节点，PG2=20 MW、U3=1.02 p.u.</x:v>
      </x:c>
      <x:c r="D14" s="103" t="str">
        <x:v>第7—11讲</x:v>
      </x:c>
      <x:c r="E14" s="103" t="str">
        <x:v>全母体系统</x:v>
      </x:c>
      <x:c r="F14" s="103" t="str">
        <x:v>形成平衡/PV/PQ节点</x:v>
      </x:c>
    </x:row>
    <x:row r="15" ht="15" hidden="0" customHeight="1">
      <x:c r="A15" s="103" t="str">
        <x:v>M3 有限容量频率</x:v>
      </x:c>
      <x:c r="B15" s="103" t="str">
        <x:v>有限机组，100 MVA</x:v>
      </x:c>
      <x:c r="C15" s="103" t="str">
        <x:v>有限等值机组G2，150 MVA</x:v>
      </x:c>
      <x:c r="D15" s="103" t="str">
        <x:v>第10讲</x:v>
      </x:c>
      <x:c r="E15" s="103" t="str">
        <x:v>G1、G2、综合负荷</x:v>
      </x:c>
      <x:c r="F15" s="103" t="str">
        <x:v>一次/二次调频与功率分担</x:v>
      </x:c>
    </x:row>
    <x:row r="16" ht="15" hidden="0" customHeight="1">
      <x:c r="A16" s="104" t="str">
        <x:v>M4 单机—无限大系统</x:v>
      </x:c>
      <x:c r="B16" s="104" t="str">
        <x:v>有限惯量机组</x:v>
      </x:c>
      <x:c r="C16" s="104" t="str">
        <x:v>无限大系统，U∞=1.02 p.u.</x:v>
      </x:c>
      <x:c r="D16" s="104" t="str">
        <x:v>第17—19讲</x:v>
      </x:c>
      <x:c r="E16" s="104" t="str">
        <x:v>G1、T1、L1∥L2、G∞</x:v>
      </x:c>
      <x:c r="F16" s="104" t="str">
        <x:v>功角、静态和暂态稳定</x:v>
      </x:c>
    </x:row>
    <x:row r="17" ht="15" hidden="0" customHeight="1">
      <x:c r="A17" s="96"/>
      <x:c r="B17" s="96"/>
      <x:c r="C17" s="96"/>
      <x:c r="D17" s="96"/>
      <x:c r="E17" s="96"/>
      <x:c r="F17" s="96"/>
    </x:row>
    <x:row r="18" ht="15" hidden="0" customHeight="1">
      <x:c r="A18" s="98" t="str">
        <x:v>经过数值校验的教学差异</x:v>
      </x:c>
      <x:c r="B18" s="96"/>
      <x:c r="C18" s="96"/>
      <x:c r="D18" s="96"/>
      <x:c r="E18" s="96"/>
      <x:c r="F18" s="96"/>
    </x:row>
    <x:row r="19" ht="15" hidden="0" customHeight="1">
      <x:c r="A19" s="99" t="str">
        <x:v>工况</x:v>
      </x:c>
      <x:c r="B19" s="100" t="str">
        <x:v>B4电压/p.u.</x:v>
      </x:c>
      <x:c r="C19" s="100" t="str">
        <x:v>有功损耗/MW</x:v>
      </x:c>
      <x:c r="D19" s="100" t="str">
        <x:v>状态</x:v>
      </x:c>
      <x:c r="E19" s="100" t="str">
        <x:v>学生应看到的变化</x:v>
      </x:c>
      <x:c r="F19" s="101" t="str">
        <x:v>使用建议</x:v>
      </x:c>
    </x:row>
    <x:row r="20" ht="24" hidden="0" customHeight="1">
      <x:c r="A20" s="102" t="str">
        <x:v>正常双回线</x:v>
      </x:c>
      <x:c r="B20" s="105" t="n">
        <x:v>0.9485</x:v>
      </x:c>
      <x:c r="C20" s="105" t="n">
        <x:v>0.791</x:v>
      </x:c>
      <x:c r="D20" s="102" t="str">
        <x:v>合格边缘</x:v>
      </x:c>
      <x:c r="E20" s="102" t="str">
        <x:v>存在可观察的线路与变压器压降</x:v>
      </x:c>
      <x:c r="F20" s="102" t="str">
        <x:v>作为基础工况</x:v>
      </x:c>
    </x:row>
    <x:row r="21" ht="15" hidden="0" customHeight="1">
      <x:c r="A21" s="103" t="str">
        <x:v>正常单回线</x:v>
      </x:c>
      <x:c r="B21" s="106" t="n">
        <x:v>0.9122</x:v>
      </x:c>
      <x:c r="C21" s="106" t="n">
        <x:v>1.246</x:v>
      </x:c>
      <x:c r="D21" s="103" t="str">
        <x:v>低电压</x:v>
      </x:c>
      <x:c r="E21" s="103" t="str">
        <x:v>N-1后电压下降、损耗上升</x:v>
      </x:c>
      <x:c r="F21" s="103" t="str">
        <x:v>用于调压与可靠性权衡</x:v>
      </x:c>
    </x:row>
    <x:row r="22" ht="15" hidden="0" customHeight="1">
      <x:c r="A22" s="103" t="str">
        <x:v>重载双回线</x:v>
      </x:c>
      <x:c r="B22" s="106" t="n">
        <x:v>0.8663</x:v>
      </x:c>
      <x:c r="C22" s="106" t="n">
        <x:v>2.001</x:v>
      </x:c>
      <x:c r="D22" s="103" t="str">
        <x:v>明显越限</x:v>
      </x:c>
      <x:c r="E22" s="103" t="str">
        <x:v>负荷增长导致电压恶化</x:v>
      </x:c>
      <x:c r="F22" s="103" t="str">
        <x:v>用于电压调整</x:v>
      </x:c>
    </x:row>
    <x:row r="23" ht="15" hidden="0" customHeight="1">
      <x:c r="A23" s="104" t="str">
        <x:v>多电源正常</x:v>
      </x:c>
      <x:c r="B23" s="107" t="n">
        <x:v>0.9839</x:v>
      </x:c>
      <x:c r="C23" s="107" t="n">
        <x:v>0.423</x:v>
      </x:c>
      <x:c r="D23" s="104" t="str">
        <x:v>良好</x:v>
      </x:c>
      <x:c r="E23" s="104" t="str">
        <x:v>G2支援改善电压并降低网损</x:v>
      </x:c>
      <x:c r="F23" s="104" t="str">
        <x:v>用于复杂潮流</x:v>
      </x:c>
    </x:row>
  </x:sheetData>
  <x:mergeCells>
    <x:mergeCell ref="A1:F1"/>
    <x:mergeCell ref="A2:F2"/>
    <x:mergeCell ref="A4:F4"/>
    <x:mergeCell ref="A11:F11"/>
    <x:mergeCell ref="A18:F18"/>
  </x:mergeCells>
  <x:conditionalFormatting sqref="D20:D23">
    <x:cfRule type="containsText" dxfId="0" priority="1" operator="containsText" text="越限"/>
    <x:cfRule type="containsText" dxfId="1" priority="2" operator="containsText" text="良好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1.600000381469727" hidden="0" customHeight="1">
      <x:c r="A1" s="108" t="str">
        <x:v>统一基准与母线数据</x:v>
      </x:c>
      <x:c r="B1" s="96"/>
      <x:c r="C1" s="96"/>
      <x:c r="D1" s="96"/>
      <x:c r="E1" s="96"/>
      <x:c r="F1" s="96"/>
      <x:c r="G1" s="96"/>
    </x:row>
    <x:row r="2" ht="15" hidden="0" customHeight="1">
      <x:c r="A2" s="109" t="str">
        <x:v>全课程统一采用Sbase=100 MVA；各电压区按变压器额定变比联动选择电压基准。</x:v>
      </x:c>
      <x:c r="B2" s="96"/>
      <x:c r="C2" s="96"/>
      <x:c r="D2" s="96"/>
      <x:c r="E2" s="96"/>
      <x:c r="F2" s="96"/>
      <x:c r="G2" s="96"/>
    </x:row>
    <x:row r="3" ht="15" hidden="0" customHeight="1">
      <x:c r="A3" s="96"/>
      <x:c r="B3" s="96"/>
      <x:c r="C3" s="96"/>
      <x:c r="D3" s="96"/>
      <x:c r="E3" s="96"/>
      <x:c r="F3" s="96"/>
      <x:c r="G3" s="96"/>
    </x:row>
    <x:row r="4" ht="15" hidden="0" customHeight="1">
      <x:c r="A4" s="99" t="str">
        <x:v>全局基准</x:v>
      </x:c>
      <x:c r="B4" s="100" t="str">
        <x:v>数值</x:v>
      </x:c>
      <x:c r="C4" s="101" t="str">
        <x:v>单位</x:v>
      </x:c>
      <x:c r="D4" s="96"/>
      <x:c r="E4" s="96"/>
      <x:c r="F4" s="96"/>
      <x:c r="G4" s="96"/>
    </x:row>
    <x:row r="5" ht="15" hidden="0" customHeight="1">
      <x:c r="A5" s="102" t="str">
        <x:v>基准容量 Sbase</x:v>
      </x:c>
      <x:c r="B5" s="110" t="n">
        <x:v>100</x:v>
      </x:c>
      <x:c r="C5" s="102" t="str">
        <x:v>MVA</x:v>
      </x:c>
      <x:c r="D5" s="96"/>
      <x:c r="E5" s="96"/>
      <x:c r="F5" s="96"/>
      <x:c r="G5" s="96"/>
    </x:row>
    <x:row r="6" ht="15" hidden="0" customHeight="1">
      <x:c r="A6" s="103" t="str">
        <x:v>标准频率 fN</x:v>
      </x:c>
      <x:c r="B6" s="111" t="n">
        <x:v>50</x:v>
      </x:c>
      <x:c r="C6" s="103" t="str">
        <x:v>Hz</x:v>
      </x:c>
      <x:c r="D6" s="96"/>
      <x:c r="E6" s="96"/>
      <x:c r="F6" s="96"/>
      <x:c r="G6" s="96"/>
    </x:row>
    <x:row r="7" ht="15" hidden="0" customHeight="1">
      <x:c r="A7" s="104" t="str">
        <x:v>角频率 ωs</x:v>
      </x:c>
      <x:c r="B7" s="112" t="n">
        <x:f>2*PI()*B6</x:f>
        <x:v>314.1592653589793</x:v>
      </x:c>
      <x:c r="C7" s="104" t="str">
        <x:v>rad/s</x:v>
      </x:c>
      <x:c r="D7" s="96"/>
      <x:c r="E7" s="96"/>
      <x:c r="F7" s="96"/>
      <x:c r="G7" s="96"/>
    </x:row>
    <x:row r="8" ht="15" hidden="0" customHeight="1">
      <x:c r="A8" s="96"/>
      <x:c r="B8" s="96"/>
      <x:c r="C8" s="96"/>
      <x:c r="D8" s="96"/>
      <x:c r="E8" s="96"/>
      <x:c r="F8" s="96"/>
      <x:c r="G8" s="96"/>
    </x:row>
    <x:row r="9" ht="15" hidden="0" customHeight="1">
      <x:c r="A9" s="96"/>
      <x:c r="B9" s="96"/>
      <x:c r="C9" s="96"/>
      <x:c r="D9" s="96"/>
      <x:c r="E9" s="96"/>
      <x:c r="F9" s="96"/>
      <x:c r="G9" s="96"/>
    </x:row>
    <x:row r="10" ht="15" hidden="0" customHeight="1">
      <x:c r="A10" s="99" t="str">
        <x:v>母线</x:v>
      </x:c>
      <x:c r="B10" s="100" t="str">
        <x:v>名称</x:v>
      </x:c>
      <x:c r="C10" s="100" t="str">
        <x:v>基准电压/kV</x:v>
      </x:c>
      <x:c r="D10" s="100" t="str">
        <x:v>母线类型M1</x:v>
      </x:c>
      <x:c r="E10" s="100" t="str">
        <x:v>母线类型M2</x:v>
      </x:c>
      <x:c r="F10" s="100" t="str">
        <x:v>额定电压范围/p.u.</x:v>
      </x:c>
      <x:c r="G10" s="101" t="str">
        <x:v>说明</x:v>
      </x:c>
    </x:row>
    <x:row r="11" ht="15" hidden="0" customHeight="1">
      <x:c r="A11" s="102" t="str">
        <x:v>B1</x:v>
      </x:c>
      <x:c r="B11" s="102" t="str">
        <x:v>发电机端</x:v>
      </x:c>
      <x:c r="C11" s="113" t="n">
        <x:v>10.5</x:v>
      </x:c>
      <x:c r="D11" s="102" t="str">
        <x:v>Slack</x:v>
      </x:c>
      <x:c r="E11" s="102" t="str">
        <x:v>Slack</x:v>
      </x:c>
      <x:c r="F11" s="102" t="str">
        <x:v>0.95—1.05</x:v>
      </x:c>
      <x:c r="G11" s="102" t="str">
        <x:v>G1机端母线</x:v>
      </x:c>
    </x:row>
    <x:row r="12" ht="15" hidden="0" customHeight="1">
      <x:c r="A12" s="103" t="str">
        <x:v>B2</x:v>
      </x:c>
      <x:c r="B12" s="103" t="str">
        <x:v>送端高压母线</x:v>
      </x:c>
      <x:c r="C12" s="114" t="n">
        <x:v>220</x:v>
      </x:c>
      <x:c r="D12" s="103" t="str">
        <x:v>PQ(零注入)</x:v>
      </x:c>
      <x:c r="E12" s="103" t="str">
        <x:v>PQ(零注入)</x:v>
      </x:c>
      <x:c r="F12" s="103" t="str">
        <x:v>0.95—1.05</x:v>
      </x:c>
      <x:c r="G12" s="103" t="str">
        <x:v>T1高压侧</x:v>
      </x:c>
    </x:row>
    <x:row r="13" ht="15" hidden="0" customHeight="1">
      <x:c r="A13" s="103" t="str">
        <x:v>B3</x:v>
      </x:c>
      <x:c r="B13" s="103" t="str">
        <x:v>受端高压母线</x:v>
      </x:c>
      <x:c r="C13" s="114" t="n">
        <x:v>220</x:v>
      </x:c>
      <x:c r="D13" s="103" t="str">
        <x:v>PQ(零注入)</x:v>
      </x:c>
      <x:c r="E13" s="103" t="str">
        <x:v>PV</x:v>
      </x:c>
      <x:c r="F13" s="103" t="str">
        <x:v>0.95—1.05</x:v>
      </x:c>
      <x:c r="G13" s="103" t="str">
        <x:v>接外部等值系统</x:v>
      </x:c>
    </x:row>
    <x:row r="14" ht="15" hidden="0" customHeight="1">
      <x:c r="A14" s="103" t="str">
        <x:v>B4</x:v>
      </x:c>
      <x:c r="B14" s="103" t="str">
        <x:v>负荷母线</x:v>
      </x:c>
      <x:c r="C14" s="114" t="n">
        <x:v>10.5</x:v>
      </x:c>
      <x:c r="D14" s="103" t="str">
        <x:v>PQ</x:v>
      </x:c>
      <x:c r="E14" s="103" t="str">
        <x:v>PQ</x:v>
      </x:c>
      <x:c r="F14" s="103" t="str">
        <x:v>0.95—1.05</x:v>
      </x:c>
      <x:c r="G14" s="103" t="str">
        <x:v>综合负荷与可选新能源</x:v>
      </x:c>
    </x:row>
    <x:row r="15" ht="15" hidden="0" customHeight="1">
      <x:c r="A15" s="104" t="str">
        <x:v>G1′</x:v>
      </x:c>
      <x:c r="B15" s="104" t="str">
        <x:v>发电机内电势节点</x:v>
      </x:c>
      <x:c r="C15" s="115" t="n">
        <x:v>10.5</x:v>
      </x:c>
      <x:c r="D15" s="104" t="str">
        <x:v>—</x:v>
      </x:c>
      <x:c r="E15" s="104" t="str">
        <x:v>—</x:v>
      </x:c>
      <x:c r="F15" s="104" t="str">
        <x:v>—</x:v>
      </x:c>
      <x:c r="G15" s="104" t="str">
        <x:v>仅短路与稳定模型使用</x:v>
      </x:c>
    </x:row>
    <x:row r="16" ht="15" hidden="0" customHeight="1">
      <x:c r="A16" s="96"/>
      <x:c r="B16" s="96"/>
      <x:c r="C16" s="96"/>
      <x:c r="D16" s="96"/>
      <x:c r="E16" s="96"/>
      <x:c r="F16" s="96"/>
      <x:c r="G16" s="96"/>
    </x:row>
    <x:row r="17" ht="15" hidden="0" customHeight="1">
      <x:c r="A17" s="96"/>
      <x:c r="B17" s="96"/>
      <x:c r="C17" s="96"/>
      <x:c r="D17" s="96"/>
      <x:c r="E17" s="96"/>
      <x:c r="F17" s="96"/>
      <x:c r="G17" s="96"/>
    </x:row>
    <x:row r="18" ht="15" hidden="0" customHeight="1">
      <x:c r="A18" s="99" t="str">
        <x:v>电压区</x:v>
      </x:c>
      <x:c r="B18" s="100" t="str">
        <x:v>Vbase/kV</x:v>
      </x:c>
      <x:c r="C18" s="100" t="str">
        <x:v>Sbase/MVA</x:v>
      </x:c>
      <x:c r="D18" s="100" t="str">
        <x:v>Zbase/Ω</x:v>
      </x:c>
      <x:c r="E18" s="100" t="str">
        <x:v>Ybase/S</x:v>
      </x:c>
      <x:c r="F18" s="100" t="str">
        <x:v>Ibase/kA</x:v>
      </x:c>
      <x:c r="G18" s="101" t="str">
        <x:v>计算关系</x:v>
      </x:c>
    </x:row>
    <x:row r="19" ht="15" hidden="0" customHeight="1">
      <x:c r="A19" s="102" t="str">
        <x:v>10.5 kV区</x:v>
      </x:c>
      <x:c r="B19" s="116" t="n">
        <x:v>10.5</x:v>
      </x:c>
      <x:c r="C19" s="117" t="n">
        <x:f>$B$5</x:f>
        <x:v>100</x:v>
      </x:c>
      <x:c r="D19" s="117" t="n">
        <x:f>B19^2/C19</x:f>
        <x:v>1.1025</x:v>
      </x:c>
      <x:c r="E19" s="117" t="n">
        <x:f>1/D19</x:f>
        <x:v>0.9070294784580498</x:v>
      </x:c>
      <x:c r="F19" s="117" t="n">
        <x:f>C19/(SQRT(3)*B19)</x:f>
        <x:v>5.49857399228215</x:v>
      </x:c>
      <x:c r="G19" s="102" t="str">
        <x:v>Zb=Vb²/Sb；Ib=Sb/(√3Vb)</x:v>
      </x:c>
    </x:row>
    <x:row r="20" ht="15" hidden="0" customHeight="1">
      <x:c r="A20" s="103" t="str">
        <x:v>220 kV区</x:v>
      </x:c>
      <x:c r="B20" s="118" t="n">
        <x:v>220</x:v>
      </x:c>
      <x:c r="C20" s="119" t="n">
        <x:f>$B$5</x:f>
        <x:v>100</x:v>
      </x:c>
      <x:c r="D20" s="119" t="n">
        <x:f>B20^2/C20</x:f>
        <x:v>484</x:v>
      </x:c>
      <x:c r="E20" s="119" t="n">
        <x:f>1/D20</x:f>
        <x:v>0.002066115702479339</x:v>
      </x:c>
      <x:c r="F20" s="119" t="n">
        <x:f>C20/(SQRT(3)*B20)</x:f>
        <x:v>0.262431940540739</x:v>
      </x:c>
      <x:c r="G20" s="103" t="str">
        <x:v>三相基准，Vb取线电压</x:v>
      </x:c>
    </x:row>
    <x:row r="21" ht="24" hidden="0" customHeight="1">
      <x:c r="A21" s="103" t="str">
        <x:v>10.5 kV区(负荷侧)</x:v>
      </x:c>
      <x:c r="B21" s="118" t="n">
        <x:v>10.5</x:v>
      </x:c>
      <x:c r="C21" s="119" t="n">
        <x:f>$B$5</x:f>
        <x:v>100</x:v>
      </x:c>
      <x:c r="D21" s="119" t="n">
        <x:f>B21^2/C21</x:f>
        <x:v>1.1025</x:v>
      </x:c>
      <x:c r="E21" s="119" t="n">
        <x:f>1/D21</x:f>
        <x:v>0.9070294784580498</x:v>
      </x:c>
      <x:c r="F21" s="119" t="n">
        <x:f>C21/(SQRT(3)*B21)</x:f>
        <x:v>5.49857399228215</x:v>
      </x:c>
      <x:c r="G21" s="103" t="str">
        <x:v>与B1同基准</x:v>
      </x:c>
    </x:row>
    <x:row r="22" ht="48" hidden="0" customHeight="1">
      <x:c r="A22" s="103" t="str">
        <x:v>备注</x:v>
      </x:c>
      <x:c r="B22" s="103" t="str">
        <x:v>变压器两侧电压基准按额定变比选择后，理想变比可从标幺等值电路中消去</x:v>
      </x:c>
      <x:c r="C22" s="103"/>
      <x:c r="D22" s="103"/>
      <x:c r="E22" s="103"/>
      <x:c r="F22" s="103"/>
      <x:c r="G22" s="103" t="str"/>
    </x:row>
    <x:row r="23" ht="36" hidden="0" customHeight="1">
      <x:c r="A23" s="104" t="str">
        <x:v>口径</x:v>
      </x:c>
      <x:c r="B23" s="104" t="str">
        <x:v>电压与电流均采用有效值；复功率正方向统一为注入母线为正</x:v>
      </x:c>
      <x:c r="C23" s="104"/>
      <x:c r="D23" s="104"/>
      <x:c r="E23" s="104"/>
      <x:c r="F23" s="104"/>
      <x:c r="G23" s="104" t="str"/>
    </x:row>
  </x:sheetData>
  <x:mergeCells>
    <x:mergeCell ref="A1:G1"/>
    <x:mergeCell ref="A2:G2"/>
  </x:mergeCells>
  <x:pageMargins left="0.7" right="0.7" top="0.75" bottom="0.75" header="0.3" footer="0.3"/>
  <x:legacyDrawing xmlns:r="http://schemas.openxmlformats.org/officeDocument/2006/relationships" r:id="R46309dc028ef489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</x:cols>
  <x:sheetData>
    <x:row r="1" ht="21.600000381469727" hidden="0" customHeight="1">
      <x:c r="A1" s="108" t="str">
        <x:v>设备铭牌与物理参数</x:v>
      </x:c>
      <x:c r="B1" s="96"/>
      <x:c r="C1" s="96"/>
      <x:c r="D1" s="96"/>
      <x:c r="E1" s="96"/>
      <x:c r="F1" s="96"/>
      <x:c r="G1" s="96"/>
      <x:c r="H1" s="96"/>
      <x:c r="I1" s="96"/>
    </x:row>
    <x:row r="2" ht="15" hidden="0" customHeight="1">
      <x:c r="A2" s="109" t="str">
        <x:v>参数规模经过教学化取整：保持工程量级合理，同时便于手算和标幺换算。</x:v>
      </x:c>
      <x:c r="B2" s="96"/>
      <x:c r="C2" s="96"/>
      <x:c r="D2" s="96"/>
      <x:c r="E2" s="96"/>
      <x:c r="F2" s="96"/>
      <x:c r="G2" s="96"/>
      <x:c r="H2" s="96"/>
      <x:c r="I2" s="96"/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  <x:c r="I3" s="96"/>
    </x:row>
    <x:row r="4" ht="15" hidden="0" customHeight="1">
      <x:c r="A4" s="99" t="str">
        <x:v>ID</x:v>
      </x:c>
      <x:c r="B4" s="100" t="str">
        <x:v>设备</x:v>
      </x:c>
      <x:c r="C4" s="100" t="str">
        <x:v>额定容量/MVA</x:v>
      </x:c>
      <x:c r="D4" s="100" t="str">
        <x:v>额定电压/kV</x:v>
      </x:c>
      <x:c r="E4" s="100" t="str">
        <x:v>关键铭牌参数1</x:v>
      </x:c>
      <x:c r="F4" s="100" t="str">
        <x:v>关键铭牌参数2</x:v>
      </x:c>
      <x:c r="G4" s="100" t="str">
        <x:v>运行限值</x:v>
      </x:c>
      <x:c r="H4" s="100" t="str">
        <x:v>接线/接地</x:v>
      </x:c>
      <x:c r="I4" s="101" t="str">
        <x:v>教学备注</x:v>
      </x:c>
    </x:row>
    <x:row r="5" ht="24" hidden="0" customHeight="1">
      <x:c r="A5" s="102" t="str">
        <x:v>G1</x:v>
      </x:c>
      <x:c r="B5" s="102" t="str">
        <x:v>同步发电机</x:v>
      </x:c>
      <x:c r="C5" s="113" t="n">
        <x:v>100</x:v>
      </x:c>
      <x:c r="D5" s="113" t="n">
        <x:v>10.5</x:v>
      </x:c>
      <x:c r="E5" s="113" t="str">
        <x:v>PG 0—90 MW</x:v>
      </x:c>
      <x:c r="F5" s="113" t="str">
        <x:v>QG -40—60 Mvar</x:v>
      </x:c>
      <x:c r="G5" s="113" t="str">
        <x:v>U=0.95—1.05 p.u.</x:v>
      </x:c>
      <x:c r="H5" s="113" t="str">
        <x:v>中性点经0.05 p.u.电抗接地</x:v>
      </x:c>
      <x:c r="I5" s="102" t="str">
        <x:v>主电源</x:v>
      </x:c>
    </x:row>
    <x:row r="6" ht="15" hidden="0" customHeight="1">
      <x:c r="A6" s="103" t="str">
        <x:v>T1</x:v>
      </x:c>
      <x:c r="B6" s="103" t="str">
        <x:v>升压变压器</x:v>
      </x:c>
      <x:c r="C6" s="114" t="n">
        <x:v>100</x:v>
      </x:c>
      <x:c r="D6" s="114" t="str">
        <x:v>10.5/220</x:v>
      </x:c>
      <x:c r="E6" s="114" t="str">
        <x:v>uk=10.01%</x:v>
      </x:c>
      <x:c r="F6" s="114" t="str">
        <x:v>Pk=500 kW</x:v>
      </x:c>
      <x:c r="G6" s="114" t="str">
        <x:v>±2×2.5%无励磁分接</x:v>
      </x:c>
      <x:c r="H6" s="114" t="str">
        <x:v>YNd11，高压侧接地</x:v>
      </x:c>
      <x:c r="I6" s="103" t="str">
        <x:v>阻断低压侧零序向G1传播</x:v>
      </x:c>
    </x:row>
    <x:row r="7" ht="24" hidden="0" customHeight="1">
      <x:c r="A7" s="103" t="str">
        <x:v>L1</x:v>
      </x:c>
      <x:c r="B7" s="103" t="str">
        <x:v>220 kV线路1</x:v>
      </x:c>
      <x:c r="C7" s="114" t="n">
        <x:v>100</x:v>
      </x:c>
      <x:c r="D7" s="114" t="n">
        <x:v>220</x:v>
      </x:c>
      <x:c r="E7" s="114" t="str">
        <x:v>长度150 km</x:v>
      </x:c>
      <x:c r="F7" s="114" t="str">
        <x:v>R=7.26 Ω，X=58.08 Ω</x:v>
      </x:c>
      <x:c r="G7" s="114" t="str">
        <x:v>热稳100 MVA/回</x:v>
      </x:c>
      <x:c r="H7" s="114" t="str">
        <x:v>架空线，完全换位</x:v>
      </x:c>
      <x:c r="I7" s="103" t="str">
        <x:v>与L2相同</x:v>
      </x:c>
    </x:row>
    <x:row r="8" ht="15" hidden="0" customHeight="1">
      <x:c r="A8" s="103" t="str">
        <x:v>L2</x:v>
      </x:c>
      <x:c r="B8" s="103" t="str">
        <x:v>220 kV线路2</x:v>
      </x:c>
      <x:c r="C8" s="114" t="n">
        <x:v>100</x:v>
      </x:c>
      <x:c r="D8" s="114" t="n">
        <x:v>220</x:v>
      </x:c>
      <x:c r="E8" s="114" t="str">
        <x:v>长度150 km</x:v>
      </x:c>
      <x:c r="F8" s="114" t="str">
        <x:v>B=61.98 μS/回</x:v>
      </x:c>
      <x:c r="G8" s="114" t="str">
        <x:v>热稳100 MVA/回</x:v>
      </x:c>
      <x:c r="H8" s="114" t="str">
        <x:v>架空线，完全换位</x:v>
      </x:c>
      <x:c r="I8" s="103" t="str">
        <x:v>N-1时退出一回</x:v>
      </x:c>
    </x:row>
    <x:row r="9" ht="15" hidden="0" customHeight="1">
      <x:c r="A9" s="103" t="str">
        <x:v>G2eq</x:v>
      </x:c>
      <x:c r="B9" s="103" t="str">
        <x:v>外部区域等值</x:v>
      </x:c>
      <x:c r="C9" s="114" t="n">
        <x:v>150</x:v>
      </x:c>
      <x:c r="D9" s="114" t="n">
        <x:v>220</x:v>
      </x:c>
      <x:c r="E9" s="114" t="str">
        <x:v>PG=20 MW(M2)</x:v>
      </x:c>
      <x:c r="F9" s="114" t="str">
        <x:v>U3=1.02 p.u.</x:v>
      </x:c>
      <x:c r="G9" s="114" t="str">
        <x:v>Q=-50—80 Mvar</x:v>
      </x:c>
      <x:c r="H9" s="114" t="str">
        <x:v>正序X=0.15 p.u.</x:v>
      </x:c>
      <x:c r="I9" s="103" t="str">
        <x:v>M3为有限机组；M4为无限大系统</x:v>
      </x:c>
    </x:row>
    <x:row r="10" ht="24" hidden="0" customHeight="1">
      <x:c r="A10" s="103" t="str">
        <x:v>T2</x:v>
      </x:c>
      <x:c r="B10" s="103" t="str">
        <x:v>降压变压器</x:v>
      </x:c>
      <x:c r="C10" s="114" t="n">
        <x:v>100</x:v>
      </x:c>
      <x:c r="D10" s="114" t="str">
        <x:v>220/10.5</x:v>
      </x:c>
      <x:c r="E10" s="114" t="str">
        <x:v>uk=12.01%</x:v>
      </x:c>
      <x:c r="F10" s="114" t="str">
        <x:v>Pk=500 kW</x:v>
      </x:c>
      <x:c r="G10" s="114" t="str">
        <x:v>±5×1.25%有载调压</x:v>
      </x:c>
      <x:c r="H10" s="114" t="str">
        <x:v>YNyn0，双方中性点接地</x:v>
      </x:c>
      <x:c r="I10" s="103" t="str">
        <x:v>便于讲零序传递与调压</x:v>
      </x:c>
    </x:row>
    <x:row r="11" ht="15" hidden="0" customHeight="1">
      <x:c r="A11" s="103" t="str">
        <x:v>LD</x:v>
      </x:c>
      <x:c r="B11" s="103" t="str">
        <x:v>综合负荷</x:v>
      </x:c>
      <x:c r="C11" s="114" t="n">
        <x:v>100</x:v>
      </x:c>
      <x:c r="D11" s="114" t="n">
        <x:v>10.5</x:v>
      </x:c>
      <x:c r="E11" s="114" t="str">
        <x:v>正常60+j25 MVA</x:v>
      </x:c>
      <x:c r="F11" s="114" t="str">
        <x:v>重载85+j40 MVA</x:v>
      </x:c>
      <x:c r="G11" s="114" t="str">
        <x:v>母线最低0.95 p.u.</x:v>
      </x:c>
      <x:c r="H11" s="114" t="str">
        <x:v>三相平衡基准模型</x:v>
      </x:c>
      <x:c r="I11" s="103" t="str">
        <x:v>静态模型默认恒PQ</x:v>
      </x:c>
    </x:row>
    <x:row r="12" ht="15" hidden="0" customHeight="1">
      <x:c r="A12" s="104" t="str">
        <x:v>PV</x:v>
      </x:c>
      <x:c r="B12" s="104" t="str">
        <x:v>可选光伏/储能</x:v>
      </x:c>
      <x:c r="C12" s="115" t="n">
        <x:v>20</x:v>
      </x:c>
      <x:c r="D12" s="115" t="n">
        <x:v>10.5</x:v>
      </x:c>
      <x:c r="E12" s="115" t="str">
        <x:v>0—15 MW</x:v>
      </x:c>
      <x:c r="F12" s="115" t="str">
        <x:v>Q=-6—6 Mvar</x:v>
      </x:c>
      <x:c r="G12" s="115" t="str">
        <x:v>逆变器容量20 MVA</x:v>
      </x:c>
      <x:c r="H12" s="115" t="str">
        <x:v>B4接入，可断开</x:v>
      </x:c>
      <x:c r="I12" s="104" t="str">
        <x:v>第11/20讲扩展，不进入基础模型</x:v>
      </x:c>
    </x:row>
    <x:row r="13" ht="15" hidden="0" customHeight="1">
      <x:c r="A13" s="96"/>
      <x:c r="B13" s="96"/>
      <x:c r="C13" s="96"/>
      <x:c r="D13" s="96"/>
      <x:c r="E13" s="96"/>
      <x:c r="F13" s="96"/>
      <x:c r="G13" s="96"/>
      <x:c r="H13" s="96"/>
      <x:c r="I13" s="96"/>
    </x:row>
    <x:row r="14" ht="15" hidden="0" customHeight="1">
      <x:c r="A14" s="96"/>
      <x:c r="B14" s="96"/>
      <x:c r="C14" s="96"/>
      <x:c r="D14" s="96"/>
      <x:c r="E14" s="96"/>
      <x:c r="F14" s="96"/>
      <x:c r="G14" s="96"/>
      <x:c r="H14" s="96"/>
      <x:c r="I14" s="96"/>
    </x:row>
    <x:row r="15" ht="15" hidden="0" customHeight="1">
      <x:c r="A15" s="98" t="str">
        <x:v>线路有名值与标幺值对应</x:v>
      </x:c>
      <x:c r="B15" s="96"/>
      <x:c r="C15" s="96"/>
      <x:c r="D15" s="96"/>
      <x:c r="E15" s="96"/>
      <x:c r="F15" s="96"/>
      <x:c r="G15" s="96"/>
      <x:c r="H15" s="96"/>
      <x:c r="I15" s="96"/>
    </x:row>
    <x:row r="16" ht="15" hidden="0" customHeight="1">
      <x:c r="A16" s="99" t="str">
        <x:v>对象</x:v>
      </x:c>
      <x:c r="B16" s="100" t="str">
        <x:v>长度/km</x:v>
      </x:c>
      <x:c r="C16" s="100" t="str">
        <x:v>r/Ω·km⁻¹</x:v>
      </x:c>
      <x:c r="D16" s="100" t="str">
        <x:v>x/Ω·km⁻¹</x:v>
      </x:c>
      <x:c r="E16" s="100" t="str">
        <x:v>B/S·km⁻¹</x:v>
      </x:c>
      <x:c r="F16" s="100" t="str">
        <x:v>R/Ω</x:v>
      </x:c>
      <x:c r="G16" s="100" t="str">
        <x:v>X/Ω</x:v>
      </x:c>
      <x:c r="H16" s="100" t="str">
        <x:v>R/p.u.</x:v>
      </x:c>
      <x:c r="I16" s="101" t="str">
        <x:v>X/p.u.</x:v>
      </x:c>
    </x:row>
    <x:row r="17" ht="15" hidden="0" customHeight="1">
      <x:c r="A17" s="102" t="str">
        <x:v>L1</x:v>
      </x:c>
      <x:c r="B17" s="120" t="n">
        <x:v>150</x:v>
      </x:c>
      <x:c r="C17" s="121" t="n">
        <x:f>F17/B17</x:f>
        <x:v>0.0484</x:v>
      </x:c>
      <x:c r="D17" s="121" t="n">
        <x:f>G17/B17</x:f>
        <x:v>0.3872</x:v>
      </x:c>
      <x:c r="E17" s="121" t="n">
        <x:f>0.03*'01_基准与母线'!$E$20/B17</x:f>
        <x:v>4.1322314049586775e-7</x:v>
      </x:c>
      <x:c r="F17" s="121" t="n">
        <x:f>H17*'01_基准与母线'!$D$20</x:f>
        <x:v>7.26</x:v>
      </x:c>
      <x:c r="G17" s="121" t="n">
        <x:f>I17*'01_基准与母线'!$D$20</x:f>
        <x:v>58.08</x:v>
      </x:c>
      <x:c r="H17" s="120" t="n">
        <x:v>0.015</x:v>
      </x:c>
      <x:c r="I17" s="120" t="n">
        <x:v>0.12</x:v>
      </x:c>
    </x:row>
    <x:row r="18" ht="15" hidden="0" customHeight="1">
      <x:c r="A18" s="103" t="str">
        <x:v>L2</x:v>
      </x:c>
      <x:c r="B18" s="122" t="n">
        <x:v>150</x:v>
      </x:c>
      <x:c r="C18" s="123" t="n">
        <x:f>F18/B18</x:f>
        <x:v>0.0484</x:v>
      </x:c>
      <x:c r="D18" s="123" t="n">
        <x:f>G18/B18</x:f>
        <x:v>0.3872</x:v>
      </x:c>
      <x:c r="E18" s="123" t="n">
        <x:f>0.03*'01_基准与母线'!$E$20/B18</x:f>
        <x:v>4.1322314049586775e-7</x:v>
      </x:c>
      <x:c r="F18" s="123" t="n">
        <x:f>H18*'01_基准与母线'!$D$20</x:f>
        <x:v>7.26</x:v>
      </x:c>
      <x:c r="G18" s="123" t="n">
        <x:f>I18*'01_基准与母线'!$D$20</x:f>
        <x:v>58.08</x:v>
      </x:c>
      <x:c r="H18" s="122" t="n">
        <x:v>0.015</x:v>
      </x:c>
      <x:c r="I18" s="122" t="n">
        <x:v>0.12</x:v>
      </x:c>
    </x:row>
    <x:row r="19" ht="15" hidden="0" customHeight="1">
      <x:c r="A19" s="103" t="str">
        <x:v>双回等值</x:v>
      </x:c>
      <x:c r="B19" s="122" t="n">
        <x:v>150</x:v>
      </x:c>
      <x:c r="C19" s="123" t="n">
        <x:f>F19/B19</x:f>
        <x:v>0.0242</x:v>
      </x:c>
      <x:c r="D19" s="123" t="n">
        <x:f>G19/B19</x:f>
        <x:v>0.1936</x:v>
      </x:c>
      <x:c r="E19" s="123"/>
      <x:c r="F19" s="123" t="n">
        <x:f>H19*'01_基准与母线'!$D$20</x:f>
        <x:v>3.63</x:v>
      </x:c>
      <x:c r="G19" s="123" t="n">
        <x:f>I19*'01_基准与母线'!$D$20</x:f>
        <x:v>29.04</x:v>
      </x:c>
      <x:c r="H19" s="122" t="n">
        <x:v>0.0075</x:v>
      </x:c>
      <x:c r="I19" s="122" t="n">
        <x:v>0.06</x:v>
      </x:c>
    </x:row>
    <x:row r="20" ht="15" hidden="0" customHeight="1">
      <x:c r="A20" s="104" t="str">
        <x:v>单回运行</x:v>
      </x:c>
      <x:c r="B20" s="124" t="n">
        <x:v>150</x:v>
      </x:c>
      <x:c r="C20" s="125" t="n">
        <x:f>F20/B20</x:f>
        <x:v>0.0484</x:v>
      </x:c>
      <x:c r="D20" s="125" t="n">
        <x:f>G20/B20</x:f>
        <x:v>0.3872</x:v>
      </x:c>
      <x:c r="E20" s="125"/>
      <x:c r="F20" s="125" t="n">
        <x:f>H20*'01_基准与母线'!$D$20</x:f>
        <x:v>7.26</x:v>
      </x:c>
      <x:c r="G20" s="125" t="n">
        <x:f>I20*'01_基准与母线'!$D$20</x:f>
        <x:v>58.08</x:v>
      </x:c>
      <x:c r="H20" s="124" t="n">
        <x:v>0.015</x:v>
      </x:c>
      <x:c r="I20" s="124" t="n">
        <x:v>0.12</x:v>
      </x:c>
    </x:row>
  </x:sheetData>
  <x:mergeCells>
    <x:mergeCell ref="A1:I1"/>
    <x:mergeCell ref="A2:I2"/>
    <x:mergeCell ref="A15:I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0" hidden="0" customWidth="1"/>
  </x:cols>
  <x:sheetData>
    <x:row r="1" ht="21.600000381469727" hidden="0" customHeight="1">
      <x:c r="A1" s="108" t="str">
        <x:v>正、负、零序及动态参数</x:v>
      </x:c>
      <x:c r="B1" s="96"/>
      <x:c r="C1" s="96"/>
      <x:c r="D1" s="96"/>
      <x:c r="E1" s="96"/>
      <x:c r="F1" s="96"/>
      <x:c r="G1" s="96"/>
      <x:c r="H1" s="96"/>
    </x:row>
    <x:row r="2" ht="15" hidden="0" customHeight="1">
      <x:c r="A2" s="109" t="str">
        <x:v>所有标幺值均在100 MVA统一基准上；线路参数为每回，双回并联时串联阻抗减半。</x:v>
      </x:c>
      <x:c r="B2" s="96"/>
      <x:c r="C2" s="96"/>
      <x:c r="D2" s="96"/>
      <x:c r="E2" s="96"/>
      <x:c r="F2" s="96"/>
      <x:c r="G2" s="96"/>
      <x:c r="H2" s="96"/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</x:row>
    <x:row r="4" ht="15" hidden="0" customHeight="1">
      <x:c r="A4" s="99" t="str">
        <x:v>元件</x:v>
      </x:c>
      <x:c r="B4" s="100" t="str">
        <x:v>参数口径</x:v>
      </x:c>
      <x:c r="C4" s="100" t="str">
        <x:v>R1</x:v>
      </x:c>
      <x:c r="D4" s="100" t="str">
        <x:v>X1</x:v>
      </x:c>
      <x:c r="E4" s="100" t="str">
        <x:v>R2</x:v>
      </x:c>
      <x:c r="F4" s="100" t="str">
        <x:v>X2</x:v>
      </x:c>
      <x:c r="G4" s="100" t="str">
        <x:v>R0+jX0</x:v>
      </x:c>
      <x:c r="H4" s="101" t="str">
        <x:v>说明</x:v>
      </x:c>
    </x:row>
    <x:row r="5" ht="15" hidden="0" customHeight="1">
      <x:c r="A5" s="102" t="str">
        <x:v>G1</x:v>
      </x:c>
      <x:c r="B5" s="102" t="str">
        <x:v>短路初始</x:v>
      </x:c>
      <x:c r="C5" s="110" t="n">
        <x:v>0.002</x:v>
      </x:c>
      <x:c r="D5" s="110" t="n">
        <x:v>0.2</x:v>
      </x:c>
      <x:c r="E5" s="110" t="n">
        <x:v>0.002</x:v>
      </x:c>
      <x:c r="F5" s="110" t="n">
        <x:v>0.22</x:v>
      </x:c>
      <x:c r="G5" s="113" t="str">
        <x:v>0.00+j0.08</x:v>
      </x:c>
      <x:c r="H5" s="102" t="str">
        <x:v>T1低压侧Δ使其零序通常不进入高压网</x:v>
      </x:c>
    </x:row>
    <x:row r="6" ht="15" hidden="0" customHeight="1">
      <x:c r="A6" s="103" t="str">
        <x:v>G1</x:v>
      </x:c>
      <x:c r="B6" s="103" t="str">
        <x:v>暂态稳定</x:v>
      </x:c>
      <x:c r="C6" s="111" t="n">
        <x:v>0.002</x:v>
      </x:c>
      <x:c r="D6" s="111" t="n">
        <x:v>0.3</x:v>
      </x:c>
      <x:c r="E6" s="111" t="n">
        <x:v>0.002</x:v>
      </x:c>
      <x:c r="F6" s="111" t="n">
        <x:v>0.55</x:v>
      </x:c>
      <x:c r="G6" s="114" t="str">
        <x:v>—</x:v>
      </x:c>
      <x:c r="H6" s="103" t="str">
        <x:v>稳定计算使用Xd′，不是Xd″</x:v>
      </x:c>
    </x:row>
    <x:row r="7" ht="15" hidden="0" customHeight="1">
      <x:c r="A7" s="103" t="str">
        <x:v>T1</x:v>
      </x:c>
      <x:c r="B7" s="103" t="str">
        <x:v>变压器</x:v>
      </x:c>
      <x:c r="C7" s="111" t="n">
        <x:v>0.005</x:v>
      </x:c>
      <x:c r="D7" s="111" t="n">
        <x:v>0.1</x:v>
      </x:c>
      <x:c r="E7" s="111" t="n">
        <x:v>0.005</x:v>
      </x:c>
      <x:c r="F7" s="111" t="n">
        <x:v>0.1</x:v>
      </x:c>
      <x:c r="G7" s="114" t="str">
        <x:v>0.005+j0.10</x:v>
      </x:c>
      <x:c r="H7" s="103" t="str">
        <x:v>YNd11，高压侧可提供零序接地通道</x:v>
      </x:c>
    </x:row>
    <x:row r="8" ht="15" hidden="0" customHeight="1">
      <x:c r="A8" s="103" t="str">
        <x:v>L1</x:v>
      </x:c>
      <x:c r="B8" s="103" t="str">
        <x:v>每回线路</x:v>
      </x:c>
      <x:c r="C8" s="111" t="n">
        <x:v>0.015</x:v>
      </x:c>
      <x:c r="D8" s="111" t="n">
        <x:v>0.12</x:v>
      </x:c>
      <x:c r="E8" s="111" t="n">
        <x:v>0.015</x:v>
      </x:c>
      <x:c r="F8" s="111" t="n">
        <x:v>0.12</x:v>
      </x:c>
      <x:c r="G8" s="114" t="str">
        <x:v>0.045+j0.36</x:v>
      </x:c>
      <x:c r="H8" s="103" t="str">
        <x:v>零序约为正序3倍</x:v>
      </x:c>
    </x:row>
    <x:row r="9" ht="15" hidden="0" customHeight="1">
      <x:c r="A9" s="103" t="str">
        <x:v>L2</x:v>
      </x:c>
      <x:c r="B9" s="103" t="str">
        <x:v>每回线路</x:v>
      </x:c>
      <x:c r="C9" s="111" t="n">
        <x:v>0.015</x:v>
      </x:c>
      <x:c r="D9" s="111" t="n">
        <x:v>0.12</x:v>
      </x:c>
      <x:c r="E9" s="111" t="n">
        <x:v>0.015</x:v>
      </x:c>
      <x:c r="F9" s="111" t="n">
        <x:v>0.12</x:v>
      </x:c>
      <x:c r="G9" s="114" t="str">
        <x:v>0.045+j0.36</x:v>
      </x:c>
      <x:c r="H9" s="103" t="str">
        <x:v>与L1相同</x:v>
      </x:c>
    </x:row>
    <x:row r="10" ht="15" hidden="0" customHeight="1">
      <x:c r="A10" s="103" t="str">
        <x:v>G2eq</x:v>
      </x:c>
      <x:c r="B10" s="103" t="str">
        <x:v>外部系统</x:v>
      </x:c>
      <x:c r="C10" s="111" t="n">
        <x:v>0</x:v>
      </x:c>
      <x:c r="D10" s="111" t="n">
        <x:v>0.15</x:v>
      </x:c>
      <x:c r="E10" s="111" t="n">
        <x:v>0</x:v>
      </x:c>
      <x:c r="F10" s="111" t="n">
        <x:v>0.18</x:v>
      </x:c>
      <x:c r="G10" s="114" t="str">
        <x:v>0.00+j0.25</x:v>
      </x:c>
      <x:c r="H10" s="103" t="str">
        <x:v>源电势置零后作为接地阻抗</x:v>
      </x:c>
    </x:row>
    <x:row r="11" ht="15" hidden="0" customHeight="1">
      <x:c r="A11" s="103" t="str">
        <x:v>T2</x:v>
      </x:c>
      <x:c r="B11" s="103" t="str">
        <x:v>变压器</x:v>
      </x:c>
      <x:c r="C11" s="111" t="n">
        <x:v>0.005</x:v>
      </x:c>
      <x:c r="D11" s="111" t="n">
        <x:v>0.12</x:v>
      </x:c>
      <x:c r="E11" s="111" t="n">
        <x:v>0.005</x:v>
      </x:c>
      <x:c r="F11" s="111" t="n">
        <x:v>0.12</x:v>
      </x:c>
      <x:c r="G11" s="114" t="str">
        <x:v>0.010+j0.12</x:v>
      </x:c>
      <x:c r="H11" s="103" t="str">
        <x:v>YNyn0，零序可由B4传至B3</x:v>
      </x:c>
    </x:row>
    <x:row r="12" ht="15" hidden="0" customHeight="1">
      <x:c r="A12" s="104" t="str">
        <x:v>负荷</x:v>
      </x:c>
      <x:c r="B12" s="104" t="str">
        <x:v>基础故障模型</x:v>
      </x:c>
      <x:c r="C12" s="126"/>
      <x:c r="D12" s="126"/>
      <x:c r="E12" s="126"/>
      <x:c r="F12" s="126"/>
      <x:c r="G12" s="115" t="str">
        <x:v>忽略</x:v>
      </x:c>
      <x:c r="H12" s="104" t="str">
        <x:v>需要时可作为拓展加入负荷序阻抗</x:v>
      </x:c>
    </x:row>
    <x:row r="13" ht="15" hidden="0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5" hidden="0" customHeight="1">
      <x:c r="A14" s="96"/>
      <x:c r="B14" s="96"/>
      <x:c r="C14" s="96"/>
      <x:c r="D14" s="96"/>
      <x:c r="E14" s="96"/>
      <x:c r="F14" s="96"/>
      <x:c r="G14" s="96"/>
      <x:c r="H14" s="96"/>
    </x:row>
    <x:row r="15" ht="15" hidden="0" customHeight="1">
      <x:c r="A15" s="98" t="str">
        <x:v>G1动态参数</x:v>
      </x:c>
      <x:c r="B15" s="96"/>
      <x:c r="C15" s="96"/>
      <x:c r="D15" s="96"/>
      <x:c r="E15" s="96"/>
      <x:c r="F15" s="96"/>
      <x:c r="G15" s="96"/>
      <x:c r="H15" s="96"/>
    </x:row>
    <x:row r="16" ht="15" hidden="0" customHeight="1">
      <x:c r="A16" s="99" t="str">
        <x:v>参数</x:v>
      </x:c>
      <x:c r="B16" s="100" t="str">
        <x:v>数值</x:v>
      </x:c>
      <x:c r="C16" s="100" t="str">
        <x:v>单位</x:v>
      </x:c>
      <x:c r="D16" s="100" t="str">
        <x:v>参数</x:v>
      </x:c>
      <x:c r="E16" s="100" t="str">
        <x:v>数值</x:v>
      </x:c>
      <x:c r="F16" s="100" t="str">
        <x:v>单位</x:v>
      </x:c>
      <x:c r="G16" s="100" t="str">
        <x:v>使用章节</x:v>
      </x:c>
      <x:c r="H16" s="101" t="str">
        <x:v>说明</x:v>
      </x:c>
    </x:row>
    <x:row r="17" ht="15" hidden="0" customHeight="1">
      <x:c r="A17" s="102" t="str">
        <x:v>Xd</x:v>
      </x:c>
      <x:c r="B17" s="110" t="n">
        <x:v>1.8</x:v>
      </x:c>
      <x:c r="C17" s="102" t="str">
        <x:v>p.u.</x:v>
      </x:c>
      <x:c r="D17" s="102" t="str">
        <x:v>Xq</x:v>
      </x:c>
      <x:c r="E17" s="110" t="n">
        <x:v>1.7</x:v>
      </x:c>
      <x:c r="F17" s="102" t="str">
        <x:v>p.u.</x:v>
      </x:c>
      <x:c r="G17" s="102" t="str">
        <x:v>同步机模型</x:v>
      </x:c>
      <x:c r="H17" s="102" t="str">
        <x:v>稳态同步电抗</x:v>
      </x:c>
    </x:row>
    <x:row r="18" ht="15" hidden="0" customHeight="1">
      <x:c r="A18" s="103" t="str">
        <x:v>Xd′</x:v>
      </x:c>
      <x:c r="B18" s="111" t="n">
        <x:v>0.3</x:v>
      </x:c>
      <x:c r="C18" s="103" t="str">
        <x:v>p.u.</x:v>
      </x:c>
      <x:c r="D18" s="103" t="str">
        <x:v>Xq′</x:v>
      </x:c>
      <x:c r="E18" s="111" t="n">
        <x:v>0.55</x:v>
      </x:c>
      <x:c r="F18" s="103" t="str">
        <x:v>p.u.</x:v>
      </x:c>
      <x:c r="G18" s="103" t="str">
        <x:v>稳定分析</x:v>
      </x:c>
      <x:c r="H18" s="103" t="str">
        <x:v>内电势E′模型</x:v>
      </x:c>
    </x:row>
    <x:row r="19" ht="15" hidden="0" customHeight="1">
      <x:c r="A19" s="103" t="str">
        <x:v>Xd″</x:v>
      </x:c>
      <x:c r="B19" s="111" t="n">
        <x:v>0.2</x:v>
      </x:c>
      <x:c r="C19" s="103" t="str">
        <x:v>p.u.</x:v>
      </x:c>
      <x:c r="D19" s="103" t="str">
        <x:v>Xq″</x:v>
      </x:c>
      <x:c r="E19" s="111" t="n">
        <x:v>0.2</x:v>
      </x:c>
      <x:c r="F19" s="103" t="str">
        <x:v>p.u.</x:v>
      </x:c>
      <x:c r="G19" s="103" t="str">
        <x:v>三相短路</x:v>
      </x:c>
      <x:c r="H19" s="103" t="str">
        <x:v>起始次暂态电流</x:v>
      </x:c>
    </x:row>
    <x:row r="20" ht="15" hidden="0" customHeight="1">
      <x:c r="A20" s="103" t="str">
        <x:v>Tdo′</x:v>
      </x:c>
      <x:c r="B20" s="111" t="n">
        <x:v>6</x:v>
      </x:c>
      <x:c r="C20" s="103" t="str">
        <x:v>s</x:v>
      </x:c>
      <x:c r="D20" s="103" t="str">
        <x:v>Tdo″</x:v>
      </x:c>
      <x:c r="E20" s="111" t="n">
        <x:v>0.04</x:v>
      </x:c>
      <x:c r="F20" s="103" t="str">
        <x:v>s</x:v>
      </x:c>
      <x:c r="G20" s="103" t="str">
        <x:v>短路暂态</x:v>
      </x:c>
      <x:c r="H20" s="103" t="str">
        <x:v>自由分量衰减</x:v>
      </x:c>
    </x:row>
    <x:row r="21" ht="15" hidden="0" customHeight="1">
      <x:c r="A21" s="103" t="str">
        <x:v>Tqo″</x:v>
      </x:c>
      <x:c r="B21" s="111" t="n">
        <x:v>0.07</x:v>
      </x:c>
      <x:c r="C21" s="103" t="str">
        <x:v>s</x:v>
      </x:c>
      <x:c r="D21" s="103" t="str">
        <x:v>H</x:v>
      </x:c>
      <x:c r="E21" s="111" t="n">
        <x:v>4.5</x:v>
      </x:c>
      <x:c r="F21" s="103" t="str">
        <x:v>s</x:v>
      </x:c>
      <x:c r="G21" s="103" t="str">
        <x:v>转子运动</x:v>
      </x:c>
      <x:c r="H21" s="103" t="str">
        <x:v>惯性常数</x:v>
      </x:c>
    </x:row>
    <x:row r="22" ht="15" hidden="0" customHeight="1">
      <x:c r="A22" s="104" t="str">
        <x:v>D</x:v>
      </x:c>
      <x:c r="B22" s="126" t="n">
        <x:v>0</x:v>
      </x:c>
      <x:c r="C22" s="104" t="str">
        <x:v>p.u.</x:v>
      </x:c>
      <x:c r="D22" s="104" t="str">
        <x:v>E′</x:v>
      </x:c>
      <x:c r="E22" s="126" t="n">
        <x:v>1.1</x:v>
      </x:c>
      <x:c r="F22" s="104" t="str">
        <x:v>p.u.</x:v>
      </x:c>
      <x:c r="G22" s="104" t="str">
        <x:v>等面积定则</x:v>
      </x:c>
      <x:c r="H22" s="104" t="str">
        <x:v>基础案例忽略阻尼</x:v>
      </x:c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30" hidden="0" customWidth="1"/>
  </x:cols>
  <x:sheetData>
    <x:row r="1" ht="21.600000381469727" hidden="0" customHeight="1">
      <x:c r="A1" s="108" t="str">
        <x:v>运行、控制、故障与稳定场景库</x:v>
      </x:c>
      <x:c r="B1" s="96"/>
      <x:c r="C1" s="96"/>
      <x:c r="D1" s="96"/>
      <x:c r="E1" s="96"/>
      <x:c r="F1" s="96"/>
      <x:c r="G1" s="96"/>
      <x:c r="H1" s="96"/>
    </x:row>
    <x:row r="2" ht="15" hidden="0" customHeight="1">
      <x:c r="A2" s="109" t="str">
        <x:v>课堂只切换少数条件；母体拓扑、设备编号和统一基准保持不变。</x:v>
      </x:c>
      <x:c r="B2" s="96"/>
      <x:c r="C2" s="96"/>
      <x:c r="D2" s="96"/>
      <x:c r="E2" s="96"/>
      <x:c r="F2" s="96"/>
      <x:c r="G2" s="96"/>
      <x:c r="H2" s="96"/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</x:row>
    <x:row r="4" ht="15" hidden="0" customHeight="1">
      <x:c r="A4" s="99" t="str">
        <x:v>场景ID</x:v>
      </x:c>
      <x:c r="B4" s="100" t="str">
        <x:v>名称</x:v>
      </x:c>
      <x:c r="C4" s="100" t="str">
        <x:v>模式</x:v>
      </x:c>
      <x:c r="D4" s="100" t="str">
        <x:v>负荷P/MW</x:v>
      </x:c>
      <x:c r="E4" s="100" t="str">
        <x:v>负荷Q/Mvar</x:v>
      </x:c>
      <x:c r="F4" s="100" t="str">
        <x:v>线路状态</x:v>
      </x:c>
      <x:c r="G4" s="100" t="str">
        <x:v>外部系统</x:v>
      </x:c>
      <x:c r="H4" s="101" t="str">
        <x:v>教学用途</x:v>
      </x:c>
    </x:row>
    <x:row r="5" ht="15" hidden="0" customHeight="1">
      <x:c r="A5" s="102" t="str">
        <x:v>N0</x:v>
      </x:c>
      <x:c r="B5" s="102" t="str">
        <x:v>正常双回线</x:v>
      </x:c>
      <x:c r="C5" s="113" t="str">
        <x:v>M1</x:v>
      </x:c>
      <x:c r="D5" s="127" t="n">
        <x:v>60</x:v>
      </x:c>
      <x:c r="E5" s="127" t="n">
        <x:v>25</x:v>
      </x:c>
      <x:c r="F5" s="113" t="str">
        <x:v>L1、L2投入</x:v>
      </x:c>
      <x:c r="G5" s="113" t="str">
        <x:v>断开</x:v>
      </x:c>
      <x:c r="H5" s="102" t="str">
        <x:v>简单潮流基准</x:v>
      </x:c>
    </x:row>
    <x:row r="6" ht="15" hidden="0" customHeight="1">
      <x:c r="A6" s="103" t="str">
        <x:v>N1</x:v>
      </x:c>
      <x:c r="B6" s="103" t="str">
        <x:v>N-1单回线</x:v>
      </x:c>
      <x:c r="C6" s="114" t="str">
        <x:v>M1</x:v>
      </x:c>
      <x:c r="D6" s="128" t="n">
        <x:v>60</x:v>
      </x:c>
      <x:c r="E6" s="128" t="n">
        <x:v>25</x:v>
      </x:c>
      <x:c r="F6" s="114" t="str">
        <x:v>仅L2投入</x:v>
      </x:c>
      <x:c r="G6" s="114" t="str">
        <x:v>断开</x:v>
      </x:c>
      <x:c r="H6" s="103" t="str">
        <x:v>可靠性与调压</x:v>
      </x:c>
    </x:row>
    <x:row r="7" ht="15" hidden="0" customHeight="1">
      <x:c r="A7" s="103" t="str">
        <x:v>H1</x:v>
      </x:c>
      <x:c r="B7" s="103" t="str">
        <x:v>重载双回线</x:v>
      </x:c>
      <x:c r="C7" s="114" t="str">
        <x:v>M1</x:v>
      </x:c>
      <x:c r="D7" s="128" t="n">
        <x:v>85</x:v>
      </x:c>
      <x:c r="E7" s="128" t="n">
        <x:v>40</x:v>
      </x:c>
      <x:c r="F7" s="114" t="str">
        <x:v>L1、L2投入</x:v>
      </x:c>
      <x:c r="G7" s="114" t="str">
        <x:v>断开</x:v>
      </x:c>
      <x:c r="H7" s="103" t="str">
        <x:v>低电压与无功补偿</x:v>
      </x:c>
    </x:row>
    <x:row r="8" ht="24" hidden="0" customHeight="1">
      <x:c r="A8" s="103" t="str">
        <x:v>PF1</x:v>
      </x:c>
      <x:c r="B8" s="103" t="str">
        <x:v>多电源正常</x:v>
      </x:c>
      <x:c r="C8" s="114" t="str">
        <x:v>M2</x:v>
      </x:c>
      <x:c r="D8" s="128" t="n">
        <x:v>60</x:v>
      </x:c>
      <x:c r="E8" s="128" t="n">
        <x:v>25</x:v>
      </x:c>
      <x:c r="F8" s="114" t="str">
        <x:v>L1、L2投入</x:v>
      </x:c>
      <x:c r="G8" s="114" t="str">
        <x:v>G2=20 MW，U3=1.02</x:v>
      </x:c>
      <x:c r="H8" s="103" t="str">
        <x:v>节点分类与NR潮流</x:v>
      </x:c>
    </x:row>
    <x:row r="9" ht="15" hidden="0" customHeight="1">
      <x:c r="A9" s="103" t="str">
        <x:v>F1</x:v>
      </x:c>
      <x:c r="B9" s="103" t="str">
        <x:v>负荷阶跃+10 MW</x:v>
      </x:c>
      <x:c r="C9" s="114" t="str">
        <x:v>M3</x:v>
      </x:c>
      <x:c r="D9" s="128" t="n">
        <x:v>70</x:v>
      </x:c>
      <x:c r="E9" s="128" t="n">
        <x:v>25</x:v>
      </x:c>
      <x:c r="F9" s="114" t="str">
        <x:v>L1、L2投入</x:v>
      </x:c>
      <x:c r="G9" s="114" t="str">
        <x:v>G2有限容量</x:v>
      </x:c>
      <x:c r="H9" s="103" t="str">
        <x:v>一次调频</x:v>
      </x:c>
    </x:row>
    <x:row r="10" ht="15" hidden="0" customHeight="1">
      <x:c r="A10" s="103" t="str">
        <x:v>SC1</x:v>
      </x:c>
      <x:c r="B10" s="103" t="str">
        <x:v>B2三相短路</x:v>
      </x:c>
      <x:c r="C10" s="114" t="str">
        <x:v>短路</x:v>
      </x:c>
      <x:c r="D10" s="128" t="n">
        <x:v>60</x:v>
      </x:c>
      <x:c r="E10" s="128" t="n">
        <x:v>25</x:v>
      </x:c>
      <x:c r="F10" s="114" t="str">
        <x:v>L1、L2投入</x:v>
      </x:c>
      <x:c r="G10" s="114" t="str">
        <x:v>G2正序等值</x:v>
      </x:c>
      <x:c r="H10" s="103" t="str">
        <x:v>起始次暂态电流</x:v>
      </x:c>
    </x:row>
    <x:row r="11" ht="15" hidden="0" customHeight="1">
      <x:c r="A11" s="103" t="str">
        <x:v>UF1</x:v>
      </x:c>
      <x:c r="B11" s="103" t="str">
        <x:v>B4单相接地</x:v>
      </x:c>
      <x:c r="C11" s="114" t="str">
        <x:v>不对称</x:v>
      </x:c>
      <x:c r="D11" s="128" t="n">
        <x:v>60</x:v>
      </x:c>
      <x:c r="E11" s="128" t="n">
        <x:v>25</x:v>
      </x:c>
      <x:c r="F11" s="114" t="str">
        <x:v>L1、L2投入</x:v>
      </x:c>
      <x:c r="G11" s="114" t="str">
        <x:v>正负零序等值</x:v>
      </x:c>
      <x:c r="H11" s="103" t="str">
        <x:v>序网络连接</x:v>
      </x:c>
    </x:row>
    <x:row r="12" ht="15" hidden="0" customHeight="1">
      <x:c r="A12" s="103" t="str">
        <x:v>ST1</x:v>
      </x:c>
      <x:c r="B12" s="103" t="str">
        <x:v>L1送端三相故障</x:v>
      </x:c>
      <x:c r="C12" s="114" t="str">
        <x:v>M4</x:v>
      </x:c>
      <x:c r="D12" s="128" t="n">
        <x:v>0</x:v>
      </x:c>
      <x:c r="E12" s="128" t="n">
        <x:v>0</x:v>
      </x:c>
      <x:c r="F12" s="114" t="str">
        <x:v>故障后切除L1</x:v>
      </x:c>
      <x:c r="G12" s="114" t="str">
        <x:v>G2无限大</x:v>
      </x:c>
      <x:c r="H12" s="103" t="str">
        <x:v>暂态稳定</x:v>
      </x:c>
    </x:row>
    <x:row r="13" ht="15" hidden="0" customHeight="1">
      <x:c r="A13" s="104" t="str">
        <x:v>PV1</x:v>
      </x:c>
      <x:c r="B13" s="104" t="str">
        <x:v>B4接入15 MW光伏</x:v>
      </x:c>
      <x:c r="C13" s="115" t="str">
        <x:v>拓展</x:v>
      </x:c>
      <x:c r="D13" s="129" t="n">
        <x:v>45</x:v>
      </x:c>
      <x:c r="E13" s="129" t="n">
        <x:v>25</x:v>
      </x:c>
      <x:c r="F13" s="115" t="str">
        <x:v>L1、L2投入</x:v>
      </x:c>
      <x:c r="G13" s="115" t="str">
        <x:v>按M2</x:v>
      </x:c>
      <x:c r="H13" s="104" t="str">
        <x:v>反向潮流与无功控制</x:v>
      </x:c>
    </x:row>
    <x:row r="14" ht="15" hidden="0" customHeight="1">
      <x:c r="A14" s="96"/>
      <x:c r="B14" s="96"/>
      <x:c r="C14" s="96"/>
      <x:c r="D14" s="96"/>
      <x:c r="E14" s="96"/>
      <x:c r="F14" s="96"/>
      <x:c r="G14" s="96"/>
      <x:c r="H14" s="96"/>
    </x:row>
    <x:row r="15" ht="15" hidden="0" customHeight="1">
      <x:c r="A15" s="96"/>
      <x:c r="B15" s="96"/>
      <x:c r="C15" s="96"/>
      <x:c r="D15" s="96"/>
      <x:c r="E15" s="96"/>
      <x:c r="F15" s="96"/>
      <x:c r="G15" s="96"/>
      <x:c r="H15" s="96"/>
    </x:row>
    <x:row r="16" ht="15" hidden="0" customHeight="1">
      <x:c r="A16" s="98" t="str">
        <x:v>统一控制量和约束</x:v>
      </x:c>
      <x:c r="B16" s="96"/>
      <x:c r="C16" s="96"/>
      <x:c r="D16" s="96"/>
      <x:c r="E16" s="96"/>
      <x:c r="F16" s="96"/>
      <x:c r="G16" s="96"/>
      <x:c r="H16" s="96"/>
    </x:row>
    <x:row r="17" ht="15" hidden="0" customHeight="1">
      <x:c r="A17" s="99" t="str">
        <x:v>变量</x:v>
      </x:c>
      <x:c r="B17" s="100" t="str">
        <x:v>正常值</x:v>
      </x:c>
      <x:c r="C17" s="100" t="str">
        <x:v>下限</x:v>
      </x:c>
      <x:c r="D17" s="100" t="str">
        <x:v>上限</x:v>
      </x:c>
      <x:c r="E17" s="100" t="str">
        <x:v>单位</x:v>
      </x:c>
      <x:c r="F17" s="100" t="str">
        <x:v>控制设备</x:v>
      </x:c>
      <x:c r="G17" s="100" t="str">
        <x:v>越限处理</x:v>
      </x:c>
      <x:c r="H17" s="101" t="str">
        <x:v>备注</x:v>
      </x:c>
    </x:row>
    <x:row r="18" ht="15" hidden="0" customHeight="1">
      <x:c r="A18" s="102" t="str">
        <x:v>B1电压</x:v>
      </x:c>
      <x:c r="B18" s="113" t="n">
        <x:v>1.04</x:v>
      </x:c>
      <x:c r="C18" s="113" t="n">
        <x:v>0.95</x:v>
      </x:c>
      <x:c r="D18" s="113" t="n">
        <x:v>1.05</x:v>
      </x:c>
      <x:c r="E18" s="102" t="str">
        <x:v>p.u.</x:v>
      </x:c>
      <x:c r="F18" s="102" t="str">
        <x:v>G1励磁</x:v>
      </x:c>
      <x:c r="G18" s="102" t="str">
        <x:v>调节励磁/无功</x:v>
      </x:c>
      <x:c r="H18" s="102" t="str">
        <x:v>M1/M2</x:v>
      </x:c>
    </x:row>
    <x:row r="19" ht="15" hidden="0" customHeight="1">
      <x:c r="A19" s="103" t="str">
        <x:v>B3电压</x:v>
      </x:c>
      <x:c r="B19" s="114" t="n">
        <x:v>1.02</x:v>
      </x:c>
      <x:c r="C19" s="114" t="n">
        <x:v>0.95</x:v>
      </x:c>
      <x:c r="D19" s="114" t="n">
        <x:v>1.05</x:v>
      </x:c>
      <x:c r="E19" s="103" t="str">
        <x:v>p.u.</x:v>
      </x:c>
      <x:c r="F19" s="103" t="str">
        <x:v>G2或外部系统</x:v>
      </x:c>
      <x:c r="G19" s="103" t="str">
        <x:v>调节G2无功</x:v>
      </x:c>
      <x:c r="H19" s="103" t="str">
        <x:v>M2</x:v>
      </x:c>
    </x:row>
    <x:row r="20" ht="15" hidden="0" customHeight="1">
      <x:c r="A20" s="103" t="str">
        <x:v>B4电压</x:v>
      </x:c>
      <x:c r="B20" s="114"/>
      <x:c r="C20" s="114" t="n">
        <x:v>0.95</x:v>
      </x:c>
      <x:c r="D20" s="114" t="n">
        <x:v>1.05</x:v>
      </x:c>
      <x:c r="E20" s="103" t="str">
        <x:v>p.u.</x:v>
      </x:c>
      <x:c r="F20" s="103" t="str">
        <x:v>T2分接头/补偿</x:v>
      </x:c>
      <x:c r="G20" s="103" t="str">
        <x:v>先补无功，再调整变比</x:v>
      </x:c>
      <x:c r="H20" s="103" t="str">
        <x:v>重点观察量</x:v>
      </x:c>
    </x:row>
    <x:row r="21" ht="15" hidden="0" customHeight="1">
      <x:c r="A21" s="103" t="str">
        <x:v>G1有功</x:v>
      </x:c>
      <x:c r="B21" s="114"/>
      <x:c r="C21" s="114" t="n">
        <x:v>0</x:v>
      </x:c>
      <x:c r="D21" s="114" t="n">
        <x:v>90</x:v>
      </x:c>
      <x:c r="E21" s="103" t="str">
        <x:v>MW</x:v>
      </x:c>
      <x:c r="F21" s="103" t="str">
        <x:v>调速器/AGC</x:v>
      </x:c>
      <x:c r="G21" s="103" t="str">
        <x:v>重新分配有功</x:v>
      </x:c>
      <x:c r="H21" s="103" t="str"/>
    </x:row>
    <x:row r="22" ht="15" hidden="0" customHeight="1">
      <x:c r="A22" s="103" t="str">
        <x:v>G1无功</x:v>
      </x:c>
      <x:c r="B22" s="114"/>
      <x:c r="C22" s="114" t="n">
        <x:v>-40</x:v>
      </x:c>
      <x:c r="D22" s="114" t="n">
        <x:v>60</x:v>
      </x:c>
      <x:c r="E22" s="103" t="str">
        <x:v>Mvar</x:v>
      </x:c>
      <x:c r="F22" s="103" t="str">
        <x:v>励磁系统</x:v>
      </x:c>
      <x:c r="G22" s="103" t="str">
        <x:v>PV转PQ处理</x:v>
      </x:c>
      <x:c r="H22" s="103" t="str"/>
    </x:row>
    <x:row r="23" ht="24" hidden="0" customHeight="1">
      <x:c r="A23" s="104" t="str">
        <x:v>线路视在功率/回</x:v>
      </x:c>
      <x:c r="B23" s="115"/>
      <x:c r="C23" s="115" t="n">
        <x:v>0</x:v>
      </x:c>
      <x:c r="D23" s="115" t="n">
        <x:v>100</x:v>
      </x:c>
      <x:c r="E23" s="104" t="str">
        <x:v>MVA</x:v>
      </x:c>
      <x:c r="F23" s="104" t="str">
        <x:v>运行方式</x:v>
      </x:c>
      <x:c r="G23" s="104" t="str">
        <x:v>转移潮流/切负荷</x:v>
      </x:c>
      <x:c r="H23" s="104" t="str">
        <x:v>N-1校核</x:v>
      </x:c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</x:cols>
  <x:sheetData>
    <x:row r="1" ht="21.600000381469727" hidden="0" customHeight="1">
      <x:c r="A1" s="108" t="str">
        <x:v>潮流数值校验基准</x:v>
      </x:c>
      <x:c r="B1" s="96"/>
      <x:c r="C1" s="96"/>
      <x:c r="D1" s="96"/>
      <x:c r="E1" s="96"/>
      <x:c r="F1" s="96"/>
      <x:c r="G1" s="96"/>
      <x:c r="H1" s="96"/>
      <x:c r="I1" s="96"/>
    </x:row>
    <x:row r="2" ht="15" hidden="0" customHeight="1">
      <x:c r="A2" s="109" t="str">
        <x:v>采用极坐标牛顿法，收敛容差10⁻¹⁰ p.u.；本表作为教师答案基准，不要求学生手算完整迭代。</x:v>
      </x:c>
      <x:c r="B2" s="96"/>
      <x:c r="C2" s="96"/>
      <x:c r="D2" s="96"/>
      <x:c r="E2" s="96"/>
      <x:c r="F2" s="96"/>
      <x:c r="G2" s="96"/>
      <x:c r="H2" s="96"/>
      <x:c r="I2" s="96"/>
    </x:row>
    <x:row r="3" ht="15" hidden="0" customHeight="1">
      <x:c r="A3" s="96"/>
      <x:c r="B3" s="96"/>
      <x:c r="C3" s="96"/>
      <x:c r="D3" s="96"/>
      <x:c r="E3" s="96"/>
      <x:c r="F3" s="96"/>
      <x:c r="G3" s="96"/>
      <x:c r="H3" s="96"/>
      <x:c r="I3" s="96"/>
    </x:row>
    <x:row r="4" ht="15" hidden="0" customHeight="1">
      <x:c r="A4" s="99" t="str">
        <x:v>场景</x:v>
      </x:c>
      <x:c r="B4" s="100" t="str">
        <x:v>线路数</x:v>
      </x:c>
      <x:c r="C4" s="100" t="str">
        <x:v>G2状态</x:v>
      </x:c>
      <x:c r="D4" s="100" t="str">
        <x:v>U1</x:v>
      </x:c>
      <x:c r="E4" s="100" t="str">
        <x:v>U2</x:v>
      </x:c>
      <x:c r="F4" s="100" t="str">
        <x:v>U3</x:v>
      </x:c>
      <x:c r="G4" s="100" t="str">
        <x:v>U4</x:v>
      </x:c>
      <x:c r="H4" s="100" t="str">
        <x:v>总有功损耗/MW</x:v>
      </x:c>
      <x:c r="I4" s="101" t="str">
        <x:v>结论</x:v>
      </x:c>
    </x:row>
    <x:row r="5" ht="15" hidden="0" customHeight="1">
      <x:c r="A5" s="102" t="str">
        <x:v>N0 正常双回线</x:v>
      </x:c>
      <x:c r="B5" s="102" t="n">
        <x:v>2</x:v>
      </x:c>
      <x:c r="C5" s="102" t="str">
        <x:v>断开</x:v>
      </x:c>
      <x:c r="D5" s="130" t="n">
        <x:v>1.04</x:v>
      </x:c>
      <x:c r="E5" s="130" t="n">
        <x:v>1.00818</x:v>
      </x:c>
      <x:c r="F5" s="130" t="n">
        <x:v>0.98614</x:v>
      </x:c>
      <x:c r="G5" s="130" t="n">
        <x:v>0.94852</x:v>
      </x:c>
      <x:c r="H5" s="130" t="n">
        <x:v>0.79125</x:v>
      </x:c>
      <x:c r="I5" s="102" t="str">
        <x:v>基础工况；B4接近下限</x:v>
      </x:c>
    </x:row>
    <x:row r="6" ht="15" hidden="0" customHeight="1">
      <x:c r="A6" s="103" t="str">
        <x:v>N1 N-1单回线</x:v>
      </x:c>
      <x:c r="B6" s="103" t="n">
        <x:v>1</x:v>
      </x:c>
      <x:c r="C6" s="103" t="str">
        <x:v>断开</x:v>
      </x:c>
      <x:c r="D6" s="131" t="n">
        <x:v>1.04</x:v>
      </x:c>
      <x:c r="E6" s="131" t="n">
        <x:v>1.00109</x:v>
      </x:c>
      <x:c r="F6" s="131" t="n">
        <x:v>0.95155</x:v>
      </x:c>
      <x:c r="G6" s="131" t="n">
        <x:v>0.91221</x:v>
      </x:c>
      <x:c r="H6" s="131" t="n">
        <x:v>1.24585</x:v>
      </x:c>
      <x:c r="I6" s="103" t="str">
        <x:v>低电压；损耗上升</x:v>
      </x:c>
    </x:row>
    <x:row r="7" ht="15" hidden="0" customHeight="1">
      <x:c r="A7" s="103" t="str">
        <x:v>H1 重载双回线</x:v>
      </x:c>
      <x:c r="B7" s="103" t="n">
        <x:v>2</x:v>
      </x:c>
      <x:c r="C7" s="103" t="str">
        <x:v>断开</x:v>
      </x:c>
      <x:c r="D7" s="131" t="n">
        <x:v>1.04</x:v>
      </x:c>
      <x:c r="E7" s="131" t="n">
        <x:v>0.9751</x:v>
      </x:c>
      <x:c r="F7" s="131" t="n">
        <x:v>0.93381</x:v>
      </x:c>
      <x:c r="G7" s="131" t="n">
        <x:v>0.86634</x:v>
      </x:c>
      <x:c r="H7" s="131" t="n">
        <x:v>2.001</x:v>
      </x:c>
      <x:c r="I7" s="103" t="str">
        <x:v>明显低电压</x:v>
      </x:c>
    </x:row>
    <x:row r="8" ht="24" hidden="0" customHeight="1">
      <x:c r="A8" s="103" t="str">
        <x:v>PF1 多电源正常</x:v>
      </x:c>
      <x:c r="B8" s="103" t="n">
        <x:v>2</x:v>
      </x:c>
      <x:c r="C8" s="103" t="str">
        <x:v>G2 PV</x:v>
      </x:c>
      <x:c r="D8" s="131" t="n">
        <x:v>1.04</x:v>
      </x:c>
      <x:c r="E8" s="131" t="n">
        <x:v>1.02933</x:v>
      </x:c>
      <x:c r="F8" s="131" t="n">
        <x:v>1.02</x:v>
      </x:c>
      <x:c r="G8" s="131" t="n">
        <x:v>0.98392</x:v>
      </x:c>
      <x:c r="H8" s="131" t="n">
        <x:v>0.42261</x:v>
      </x:c>
      <x:c r="I8" s="103" t="str">
        <x:v>电压改善；损耗下降</x:v>
      </x:c>
    </x:row>
    <x:row r="9" ht="24" hidden="0" customHeight="1">
      <x:c r="A9" s="104" t="str">
        <x:v>检查</x:v>
      </x:c>
      <x:c r="B9" s="104" t="str">
        <x:v>—</x:v>
      </x:c>
      <x:c r="C9" s="104" t="str">
        <x:v>—</x:v>
      </x:c>
      <x:c r="D9" s="104"/>
      <x:c r="E9" s="104"/>
      <x:c r="F9" s="104"/>
      <x:c r="G9" s="104"/>
      <x:c r="H9" s="104"/>
      <x:c r="I9" s="104" t="str">
        <x:v>结果来自独立NR校验；网络参数见03表</x:v>
      </x:c>
    </x:row>
    <x:row r="10" ht="15" hidden="0" customHeight="1">
      <x:c r="A10" s="96"/>
      <x:c r="B10" s="96"/>
      <x:c r="C10" s="96"/>
      <x:c r="D10" s="96"/>
      <x:c r="E10" s="96"/>
      <x:c r="F10" s="96"/>
      <x:c r="G10" s="96"/>
      <x:c r="H10" s="96"/>
      <x:c r="I10" s="96"/>
    </x:row>
    <x:row r="11" ht="15" hidden="0" customHeight="1">
      <x:c r="A11" s="96"/>
      <x:c r="B11" s="96"/>
      <x:c r="C11" s="96"/>
      <x:c r="D11" s="96"/>
      <x:c r="E11" s="96"/>
      <x:c r="F11" s="96"/>
      <x:c r="G11" s="96"/>
      <x:c r="H11" s="96"/>
      <x:c r="I11" s="96"/>
    </x:row>
    <x:row r="12" ht="15" hidden="0" customHeight="1">
      <x:c r="A12" s="98" t="str">
        <x:v>各场景母线注入（注入为正）</x:v>
      </x:c>
      <x:c r="B12" s="96"/>
      <x:c r="C12" s="96"/>
      <x:c r="D12" s="96"/>
      <x:c r="E12" s="96"/>
      <x:c r="F12" s="96"/>
      <x:c r="G12" s="96"/>
      <x:c r="H12" s="96"/>
      <x:c r="I12" s="96"/>
    </x:row>
    <x:row r="13" ht="15" hidden="0" customHeight="1">
      <x:c r="A13" s="99" t="str">
        <x:v>场景</x:v>
      </x:c>
      <x:c r="B13" s="100" t="str">
        <x:v>P1/MW</x:v>
      </x:c>
      <x:c r="C13" s="100" t="str">
        <x:v>Q1/Mvar</x:v>
      </x:c>
      <x:c r="D13" s="100" t="str">
        <x:v>P3/MW</x:v>
      </x:c>
      <x:c r="E13" s="100" t="str">
        <x:v>Q3/Mvar</x:v>
      </x:c>
      <x:c r="F13" s="100" t="str">
        <x:v>PL/MW</x:v>
      </x:c>
      <x:c r="G13" s="100" t="str">
        <x:v>QL/Mvar</x:v>
      </x:c>
      <x:c r="H13" s="100" t="str">
        <x:v>系统P损耗/MW</x:v>
      </x:c>
      <x:c r="I13" s="101" t="str">
        <x:v>系统Q消耗/Mvar</x:v>
      </x:c>
    </x:row>
    <x:row r="14" ht="15" hidden="0" customHeight="1">
      <x:c r="A14" s="102" t="str">
        <x:v>N0</x:v>
      </x:c>
      <x:c r="B14" s="132" t="n">
        <x:v>60.791</x:v>
      </x:c>
      <x:c r="C14" s="132" t="n">
        <x:v>31.729</x:v>
      </x:c>
      <x:c r="D14" s="132" t="n">
        <x:v>0</x:v>
      </x:c>
      <x:c r="E14" s="132" t="n">
        <x:v>0</x:v>
      </x:c>
      <x:c r="F14" s="132" t="n">
        <x:v>60</x:v>
      </x:c>
      <x:c r="G14" s="132" t="n">
        <x:v>25</x:v>
      </x:c>
      <x:c r="H14" s="132" t="n">
        <x:v>0.791</x:v>
      </x:c>
      <x:c r="I14" s="132" t="n">
        <x:v>6.729</x:v>
      </x:c>
    </x:row>
    <x:row r="15" ht="15" hidden="0" customHeight="1">
      <x:c r="A15" s="103" t="str">
        <x:v>N1</x:v>
      </x:c>
      <x:c r="B15" s="133" t="n">
        <x:v>61.246</x:v>
      </x:c>
      <x:c r="C15" s="133" t="n">
        <x:v>39.096</x:v>
      </x:c>
      <x:c r="D15" s="133" t="n">
        <x:v>0</x:v>
      </x:c>
      <x:c r="E15" s="133" t="n">
        <x:v>0</x:v>
      </x:c>
      <x:c r="F15" s="133" t="n">
        <x:v>60</x:v>
      </x:c>
      <x:c r="G15" s="133" t="n">
        <x:v>25</x:v>
      </x:c>
      <x:c r="H15" s="133" t="n">
        <x:v>1.246</x:v>
      </x:c>
      <x:c r="I15" s="133" t="n">
        <x:v>14.096</x:v>
      </x:c>
    </x:row>
    <x:row r="16" ht="15" hidden="0" customHeight="1">
      <x:c r="A16" s="103" t="str">
        <x:v>H1</x:v>
      </x:c>
      <x:c r="B16" s="133" t="n">
        <x:v>87.001</x:v>
      </x:c>
      <x:c r="C16" s="133" t="n">
        <x:v>66.606</x:v>
      </x:c>
      <x:c r="D16" s="133" t="n">
        <x:v>0</x:v>
      </x:c>
      <x:c r="E16" s="133" t="n">
        <x:v>0</x:v>
      </x:c>
      <x:c r="F16" s="133" t="n">
        <x:v>85</x:v>
      </x:c>
      <x:c r="G16" s="133" t="n">
        <x:v>40</x:v>
      </x:c>
      <x:c r="H16" s="133" t="n">
        <x:v>2.001</x:v>
      </x:c>
      <x:c r="I16" s="133" t="n">
        <x:v>26.606</x:v>
      </x:c>
    </x:row>
    <x:row r="17" ht="15" hidden="0" customHeight="1">
      <x:c r="A17" s="103" t="str">
        <x:v>PF1</x:v>
      </x:c>
      <x:c r="B17" s="133" t="n">
        <x:v>40.423</x:v>
      </x:c>
      <x:c r="C17" s="133" t="n">
        <x:v>9.819</x:v>
      </x:c>
      <x:c r="D17" s="133" t="n">
        <x:v>20</x:v>
      </x:c>
      <x:c r="E17" s="133" t="n">
        <x:v>16.713</x:v>
      </x:c>
      <x:c r="F17" s="133" t="n">
        <x:v>60</x:v>
      </x:c>
      <x:c r="G17" s="133" t="n">
        <x:v>25</x:v>
      </x:c>
      <x:c r="H17" s="133" t="n">
        <x:v>0.423</x:v>
      </x:c>
      <x:c r="I17" s="133" t="n">
        <x:v>1.532</x:v>
      </x:c>
    </x:row>
    <x:row r="18" ht="15" hidden="0" customHeight="1">
      <x:c r="A18" s="104" t="str">
        <x:v>符号说明</x:v>
      </x:c>
      <x:c r="B18" s="104" t="str">
        <x:v>发电为正</x:v>
      </x:c>
      <x:c r="C18" s="104" t="str">
        <x:v>发出无功为正</x:v>
      </x:c>
      <x:c r="D18" s="104" t="str">
        <x:v>发电为正</x:v>
      </x:c>
      <x:c r="E18" s="104" t="str">
        <x:v>发出无功为正</x:v>
      </x:c>
      <x:c r="F18" s="104" t="str">
        <x:v>消耗量列为正数</x:v>
      </x:c>
      <x:c r="G18" s="104" t="str">
        <x:v>消耗量列为正数</x:v>
      </x:c>
      <x:c r="H18" s="104" t="str">
        <x:v>ΣP注入</x:v>
      </x:c>
      <x:c r="I18" s="104" t="str">
        <x:v>ΣQ注入</x:v>
      </x:c>
    </x:row>
  </x:sheetData>
  <x:mergeCells>
    <x:mergeCell ref="A1:I1"/>
    <x:mergeCell ref="A2:I2"/>
    <x:mergeCell ref="A12:I12"/>
  </x:mergeCells>
  <x:conditionalFormatting sqref="D5:G8">
    <x:cfRule type="cellIs" dxfId="2" priority="1" operator="lessThan">
      <x:formula>0.95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1.600000381469727" hidden="0" customHeight="1">
      <x:c r="A1" s="108" t="str">
        <x:v>频率、短路与稳定参数及校验</x:v>
      </x:c>
      <x:c r="B1" s="96"/>
      <x:c r="C1" s="96"/>
      <x:c r="D1" s="96"/>
      <x:c r="E1" s="96"/>
      <x:c r="F1" s="96"/>
      <x:c r="G1" s="96"/>
    </x:row>
    <x:row r="2" ht="15" hidden="0" customHeight="1">
      <x:c r="A2" s="109" t="str">
        <x:v>黄色单元格可作为课堂情境输入；绿色单元格为公式结果。</x:v>
      </x:c>
      <x:c r="B2" s="96"/>
      <x:c r="C2" s="96"/>
      <x:c r="D2" s="96"/>
      <x:c r="E2" s="96"/>
      <x:c r="F2" s="96"/>
      <x:c r="G2" s="96"/>
    </x:row>
    <x:row r="3" ht="15" hidden="0" customHeight="1">
      <x:c r="A3" s="96"/>
      <x:c r="B3" s="96"/>
      <x:c r="C3" s="96"/>
      <x:c r="D3" s="96"/>
      <x:c r="E3" s="96"/>
      <x:c r="F3" s="96"/>
      <x:c r="G3" s="96"/>
    </x:row>
    <x:row r="4" ht="15" hidden="0" customHeight="1">
      <x:c r="A4" s="98" t="str">
        <x:v>一次调频：负荷阶跃10 MW</x:v>
      </x:c>
      <x:c r="B4" s="96"/>
      <x:c r="C4" s="96"/>
      <x:c r="D4" s="96"/>
      <x:c r="E4" s="96"/>
      <x:c r="F4" s="96"/>
      <x:c r="G4" s="96"/>
    </x:row>
    <x:row r="5" ht="24" hidden="0" customHeight="1">
      <x:c r="A5" s="99" t="str">
        <x:v>对象</x:v>
      </x:c>
      <x:c r="B5" s="100" t="str">
        <x:v>额定功率/MW</x:v>
      </x:c>
      <x:c r="C5" s="100" t="str">
        <x:v>调差率R</x:v>
      </x:c>
      <x:c r="D5" s="100" t="str">
        <x:v>单位调节功率/MW·Hz⁻¹</x:v>
      </x:c>
      <x:c r="E5" s="100" t="str">
        <x:v>负荷系数D</x:v>
      </x:c>
      <x:c r="F5" s="100" t="str">
        <x:v>频率变化/Hz</x:v>
      </x:c>
      <x:c r="G5" s="101" t="str">
        <x:v>一次响应/MW</x:v>
      </x:c>
    </x:row>
    <x:row r="6" ht="15" hidden="0" customHeight="1">
      <x:c r="A6" s="102" t="str">
        <x:v>G1</x:v>
      </x:c>
      <x:c r="B6" s="110" t="n">
        <x:v>100</x:v>
      </x:c>
      <x:c r="C6" s="110" t="n">
        <x:v>0.05</x:v>
      </x:c>
      <x:c r="D6" s="134" t="n">
        <x:f>B6/(C6*'01_基准与母线'!$B$6)</x:f>
        <x:v>40</x:v>
      </x:c>
      <x:c r="E6" s="132"/>
      <x:c r="F6" s="134" t="n">
        <x:f>$F$10</x:f>
        <x:v>-0.08561643835616438</x:v>
      </x:c>
      <x:c r="G6" s="134" t="n">
        <x:f>-D6*$F$10</x:f>
        <x:v>3.4246575342465753</x:v>
      </x:c>
    </x:row>
    <x:row r="7" ht="15" hidden="0" customHeight="1">
      <x:c r="A7" s="103" t="str">
        <x:v>G2eq</x:v>
      </x:c>
      <x:c r="B7" s="111" t="n">
        <x:v>150</x:v>
      </x:c>
      <x:c r="C7" s="111" t="n">
        <x:v>0.04</x:v>
      </x:c>
      <x:c r="D7" s="135" t="n">
        <x:f>B7/(C7*'01_基准与母线'!$B$6)</x:f>
        <x:v>75</x:v>
      </x:c>
      <x:c r="E7" s="133"/>
      <x:c r="F7" s="135" t="n">
        <x:f>$F$10</x:f>
        <x:v>-0.08561643835616438</x:v>
      </x:c>
      <x:c r="G7" s="135" t="n">
        <x:f>-D7*$F$10</x:f>
        <x:v>6.421232876712328</x:v>
      </x:c>
    </x:row>
    <x:row r="8" ht="15" hidden="0" customHeight="1">
      <x:c r="A8" s="103" t="str">
        <x:v>综合负荷</x:v>
      </x:c>
      <x:c r="B8" s="111" t="n">
        <x:v>60</x:v>
      </x:c>
      <x:c r="C8" s="111"/>
      <x:c r="D8" s="135" t="n">
        <x:f>E8*B8/'01_基准与母线'!$B$6</x:f>
        <x:v>1.8</x:v>
      </x:c>
      <x:c r="E8" s="111" t="n">
        <x:v>1.5</x:v>
      </x:c>
      <x:c r="F8" s="135" t="n">
        <x:f>$F$10</x:f>
        <x:v>-0.08561643835616438</x:v>
      </x:c>
      <x:c r="G8" s="135" t="n">
        <x:f>-D8*$F$10</x:f>
        <x:v>0.1541095890410959</x:v>
      </x:c>
    </x:row>
    <x:row r="9" ht="15" hidden="0" customHeight="1">
      <x:c r="A9" s="103" t="str">
        <x:v>负荷阶跃 ΔPL</x:v>
      </x:c>
      <x:c r="B9" s="111" t="n">
        <x:v>10</x:v>
      </x:c>
      <x:c r="C9" s="111"/>
      <x:c r="D9" s="135"/>
      <x:c r="E9" s="133"/>
      <x:c r="F9" s="135"/>
      <x:c r="G9" s="135"/>
    </x:row>
    <x:row r="10" ht="15" hidden="0" customHeight="1">
      <x:c r="A10" s="104" t="str">
        <x:v>系统合计</x:v>
      </x:c>
      <x:c r="B10" s="136"/>
      <x:c r="C10" s="136"/>
      <x:c r="D10" s="112" t="n">
        <x:f>SUM(D6:D8)</x:f>
        <x:v>116.8</x:v>
      </x:c>
      <x:c r="E10" s="136"/>
      <x:c r="F10" s="112" t="n">
        <x:f>-B9/D10</x:f>
        <x:v>-0.08561643835616438</x:v>
      </x:c>
      <x:c r="G10" s="112"/>
    </x:row>
    <x:row r="11" ht="15" hidden="0" customHeight="1">
      <x:c r="A11" s="96"/>
      <x:c r="B11" s="96"/>
      <x:c r="C11" s="96"/>
      <x:c r="D11" s="96"/>
      <x:c r="E11" s="96"/>
      <x:c r="F11" s="96"/>
      <x:c r="G11" s="96"/>
    </x:row>
    <x:row r="12" ht="15" hidden="0" customHeight="1">
      <x:c r="A12" s="96"/>
      <x:c r="B12" s="96"/>
      <x:c r="C12" s="96"/>
      <x:c r="D12" s="96"/>
      <x:c r="E12" s="96"/>
      <x:c r="F12" s="96"/>
      <x:c r="G12" s="96"/>
    </x:row>
    <x:row r="13" ht="15" hidden="0" customHeight="1">
      <x:c r="A13" s="98" t="str">
        <x:v>短路校验</x:v>
      </x:c>
      <x:c r="B13" s="96"/>
      <x:c r="C13" s="96"/>
      <x:c r="D13" s="96"/>
      <x:c r="E13" s="96"/>
      <x:c r="F13" s="96"/>
      <x:c r="G13" s="96"/>
    </x:row>
    <x:row r="14" ht="15" hidden="0" customHeight="1">
      <x:c r="A14" s="99" t="str">
        <x:v>故障</x:v>
      </x:c>
      <x:c r="B14" s="100" t="str">
        <x:v>Z1/p.u.</x:v>
      </x:c>
      <x:c r="C14" s="100" t="str">
        <x:v>Z2/p.u.</x:v>
      </x:c>
      <x:c r="D14" s="100" t="str">
        <x:v>Z0/p.u.</x:v>
      </x:c>
      <x:c r="E14" s="100" t="str">
        <x:v>电流/p.u.</x:v>
      </x:c>
      <x:c r="F14" s="100" t="str">
        <x:v>短路容量/MVA</x:v>
      </x:c>
      <x:c r="G14" s="101" t="str">
        <x:v>教学解释</x:v>
      </x:c>
    </x:row>
    <x:row r="15" ht="15" hidden="0" customHeight="1">
      <x:c r="A15" s="102" t="str">
        <x:v>B2三相短路(双回)</x:v>
      </x:c>
      <x:c r="B15" s="102" t="str">
        <x:v>0.00346+j0.12424</x:v>
      </x:c>
      <x:c r="C15" s="102" t="str">
        <x:v>—</x:v>
      </x:c>
      <x:c r="D15" s="102" t="str">
        <x:v>—</x:v>
      </x:c>
      <x:c r="E15" s="134" t="n">
        <x:f>1/SQRT(0.00346^2+0.12424^2)</x:f>
        <x:v>8.045818037735057</x:v>
      </x:c>
      <x:c r="F15" s="134" t="n">
        <x:f>E15*'01_基准与母线'!$B$5</x:f>
        <x:v>804.5818037735056</x:v>
      </x:c>
      <x:c r="G15" s="102" t="str">
        <x:v>仅正序网络</x:v>
      </x:c>
    </x:row>
    <x:row r="16" ht="15" hidden="0" customHeight="1">
      <x:c r="A16" s="103" t="str">
        <x:v>B2三相短路(单回)</x:v>
      </x:c>
      <x:c r="B16" s="103" t="str">
        <x:v>0.00529+j0.14256</x:v>
      </x:c>
      <x:c r="C16" s="103" t="str">
        <x:v>—</x:v>
      </x:c>
      <x:c r="D16" s="103" t="str">
        <x:v>—</x:v>
      </x:c>
      <x:c r="E16" s="135" t="n">
        <x:f>1/SQRT(0.00529^2+0.14256^2)</x:f>
        <x:v>7.009765983879072</x:v>
      </x:c>
      <x:c r="F16" s="135" t="n">
        <x:f>E16*'01_基准与母线'!$B$5</x:f>
        <x:v>700.9765983879072</x:v>
      </x:c>
      <x:c r="G16" s="103" t="str">
        <x:v>切除一回后短路容量下降</x:v>
      </x:c>
    </x:row>
    <x:row r="17" ht="15" hidden="0" customHeight="1">
      <x:c r="A17" s="103" t="str">
        <x:v>B4单相接地</x:v>
      </x:c>
      <x:c r="B17" s="103" t="str">
        <x:v>0.00625+j0.22592</x:v>
      </x:c>
      <x:c r="C17" s="103" t="str">
        <x:v>0.00650+j0.24218</x:v>
      </x:c>
      <x:c r="D17" s="103" t="str">
        <x:v>0.01610+j0.25239</x:v>
      </x:c>
      <x:c r="E17" s="133" t="n">
        <x:v>4.1605</x:v>
      </x:c>
      <x:c r="F17" s="133" t="n">
        <x:v>416.05</x:v>
      </x:c>
      <x:c r="G17" s="103" t="str">
        <x:v>I1=I2=I0；Ia=3I1</x:v>
      </x:c>
    </x:row>
    <x:row r="18" ht="15" hidden="0" customHeight="1">
      <x:c r="A18" s="103" t="str">
        <x:v>B4正序戴维南</x:v>
      </x:c>
      <x:c r="B18" s="103" t="str">
        <x:v>0.00625+j0.22592</x:v>
      </x:c>
      <x:c r="C18" s="103" t="str">
        <x:v>—</x:v>
      </x:c>
      <x:c r="D18" s="103" t="str">
        <x:v>—</x:v>
      </x:c>
      <x:c r="E18" s="133"/>
      <x:c r="F18" s="133"/>
      <x:c r="G18" s="103" t="str">
        <x:v>用于三相短路扩展</x:v>
      </x:c>
    </x:row>
    <x:row r="19" ht="15" hidden="0" customHeight="1">
      <x:c r="A19" s="103" t="str">
        <x:v>故障阻抗Zf</x:v>
      </x:c>
      <x:c r="B19" s="103" t="n">
        <x:v>0</x:v>
      </x:c>
      <x:c r="C19" s="103" t="n">
        <x:v>0</x:v>
      </x:c>
      <x:c r="D19" s="103" t="n">
        <x:v>0</x:v>
      </x:c>
      <x:c r="E19" s="133" t="n">
        <x:v>0</x:v>
      </x:c>
      <x:c r="F19" s="133" t="n">
        <x:v>0</x:v>
      </x:c>
      <x:c r="G19" s="103" t="str">
        <x:v>基础案例取金属性短路</x:v>
      </x:c>
    </x:row>
    <x:row r="20" ht="24" hidden="0" customHeight="1">
      <x:c r="A20" s="104" t="str">
        <x:v>说明</x:v>
      </x:c>
      <x:c r="B20" s="104" t="str">
        <x:v>源电势置零后求故障点驱动点阻抗</x:v>
      </x:c>
      <x:c r="C20" s="104" t="str"/>
      <x:c r="D20" s="104" t="str"/>
      <x:c r="E20" s="104" t="str"/>
      <x:c r="F20" s="104" t="str"/>
      <x:c r="G20" s="104" t="str">
        <x:v>B4零序网络考虑T1、T2接线与外部系统接地</x:v>
      </x:c>
    </x:row>
    <x:row r="21" ht="15" hidden="0" customHeight="1">
      <x:c r="A21" s="96"/>
      <x:c r="B21" s="96"/>
      <x:c r="C21" s="96"/>
      <x:c r="D21" s="96"/>
      <x:c r="E21" s="96"/>
      <x:c r="F21" s="96"/>
      <x:c r="G21" s="96"/>
    </x:row>
    <x:row r="22" ht="15" hidden="0" customHeight="1">
      <x:c r="A22" s="96"/>
      <x:c r="B22" s="96"/>
      <x:c r="C22" s="96"/>
      <x:c r="D22" s="96"/>
      <x:c r="E22" s="96"/>
      <x:c r="F22" s="96"/>
      <x:c r="G22" s="96"/>
    </x:row>
    <x:row r="23" ht="15" hidden="0" customHeight="1">
      <x:c r="A23" s="98" t="str">
        <x:v>单机—无限大系统暂态稳定</x:v>
      </x:c>
      <x:c r="B23" s="96"/>
      <x:c r="C23" s="96"/>
      <x:c r="D23" s="96"/>
      <x:c r="E23" s="96"/>
      <x:c r="F23" s="96"/>
      <x:c r="G23" s="96"/>
    </x:row>
    <x:row r="24" ht="15" hidden="0" customHeight="1">
      <x:c r="A24" s="99" t="str">
        <x:v>量</x:v>
      </x:c>
      <x:c r="B24" s="100" t="str">
        <x:v>数值</x:v>
      </x:c>
      <x:c r="C24" s="100" t="str">
        <x:v>单位</x:v>
      </x:c>
      <x:c r="D24" s="100" t="str">
        <x:v>公式/来源</x:v>
      </x:c>
      <x:c r="E24" s="100" t="str">
        <x:v>量</x:v>
      </x:c>
      <x:c r="F24" s="100" t="str">
        <x:v>数值</x:v>
      </x:c>
      <x:c r="G24" s="101" t="str">
        <x:v>单位</x:v>
      </x:c>
    </x:row>
    <x:row r="25" ht="15" hidden="0" customHeight="1">
      <x:c r="A25" s="102" t="str">
        <x:v>Pm</x:v>
      </x:c>
      <x:c r="B25" s="110" t="n">
        <x:v>0.75</x:v>
      </x:c>
      <x:c r="C25" s="102" t="str">
        <x:v>p.u.</x:v>
      </x:c>
      <x:c r="D25" s="102" t="str">
        <x:v>G1机械功率</x:v>
      </x:c>
      <x:c r="E25" s="102" t="str">
        <x:v>E′</x:v>
      </x:c>
      <x:c r="F25" s="110" t="n">
        <x:v>1.1</x:v>
      </x:c>
      <x:c r="G25" s="102" t="str">
        <x:v>p.u.</x:v>
      </x:c>
    </x:row>
    <x:row r="26" ht="15" hidden="0" customHeight="1">
      <x:c r="A26" s="103" t="str">
        <x:v>U∞</x:v>
      </x:c>
      <x:c r="B26" s="111" t="n">
        <x:v>1.02</x:v>
      </x:c>
      <x:c r="C26" s="103" t="str">
        <x:v>p.u.</x:v>
      </x:c>
      <x:c r="D26" s="103" t="str">
        <x:v>外部系统电压</x:v>
      </x:c>
      <x:c r="E26" s="103" t="str">
        <x:v>H</x:v>
      </x:c>
      <x:c r="F26" s="111" t="n">
        <x:v>4.5</x:v>
      </x:c>
      <x:c r="G26" s="103" t="str">
        <x:v>s</x:v>
      </x:c>
    </x:row>
    <x:row r="27" ht="15" hidden="0" customHeight="1">
      <x:c r="A27" s="103" t="str">
        <x:v>Xpre</x:v>
      </x:c>
      <x:c r="B27" s="135" t="n">
        <x:f>'03_标幺与序参数'!B18+'03_标幺与序参数'!D7+'03_标幺与序参数'!D8/2+'03_标幺与序参数'!D10</x:f>
        <x:v>0.61</x:v>
      </x:c>
      <x:c r="C27" s="103" t="str">
        <x:v>p.u.</x:v>
      </x:c>
      <x:c r="D27" s="103" t="str">
        <x:v>Xd′+XT1+XL/2+Xgrid</x:v>
      </x:c>
      <x:c r="E27" s="103" t="str">
        <x:v>Pmax_pre</x:v>
      </x:c>
      <x:c r="F27" s="135" t="n">
        <x:f>F25*B26/B27</x:f>
        <x:v>1.8393442622950822</x:v>
      </x:c>
      <x:c r="G27" s="103" t="str">
        <x:v>p.u.</x:v>
      </x:c>
    </x:row>
    <x:row r="28" ht="15" hidden="0" customHeight="1">
      <x:c r="A28" s="103" t="str">
        <x:v>Xpost</x:v>
      </x:c>
      <x:c r="B28" s="135" t="n">
        <x:f>'03_标幺与序参数'!B18+'03_标幺与序参数'!D7+'03_标幺与序参数'!D8+'03_标幺与序参数'!D10</x:f>
        <x:v>0.67</x:v>
      </x:c>
      <x:c r="C28" s="103" t="str">
        <x:v>p.u.</x:v>
      </x:c>
      <x:c r="D28" s="103" t="str">
        <x:v>Xd′+XT1+XL+Xgrid</x:v>
      </x:c>
      <x:c r="E28" s="103" t="str">
        <x:v>Pmax_post</x:v>
      </x:c>
      <x:c r="F28" s="135" t="n">
        <x:f>F25*B26/B28</x:f>
        <x:v>1.6746268656716419</x:v>
      </x:c>
      <x:c r="G28" s="103" t="str">
        <x:v>p.u.</x:v>
      </x:c>
    </x:row>
    <x:row r="29" ht="15" hidden="0" customHeight="1">
      <x:c r="A29" s="103" t="str">
        <x:v>δ0</x:v>
      </x:c>
      <x:c r="B29" s="135" t="n">
        <x:f>DEGREES(ASIN(B25/F27))</x:f>
        <x:v>24.063823141657487</x:v>
      </x:c>
      <x:c r="C29" s="103" t="str">
        <x:v>deg</x:v>
      </x:c>
      <x:c r="D29" s="103" t="str">
        <x:v>asin(Pm/Pmax_pre)</x:v>
      </x:c>
      <x:c r="E29" s="103" t="str">
        <x:v>δu_post</x:v>
      </x:c>
      <x:c r="F29" s="135" t="n">
        <x:f>180-DEGREES(ASIN(B25/F28))</x:f>
        <x:v>153.39347186620472</x:v>
      </x:c>
      <x:c r="G29" s="103" t="str">
        <x:v>deg</x:v>
      </x:c>
    </x:row>
    <x:row r="30" ht="24" hidden="0" customHeight="1">
      <x:c r="A30" s="103" t="str">
        <x:v>δcritical</x:v>
      </x:c>
      <x:c r="B30" s="135" t="n">
        <x:f>DEGREES(ACOS(COS(RADIANS(F29))+(B25/F28)*(RADIANS(F29)-RADIANS(B29))))</x:f>
        <x:v>83.29132115554647</x:v>
      </x:c>
      <x:c r="C30" s="103" t="str">
        <x:v>deg</x:v>
      </x:c>
      <x:c r="D30" s="103" t="str">
        <x:v>等面积定则，故障中Pmax≈0</x:v>
      </x:c>
      <x:c r="E30" s="103" t="str">
        <x:v>tcritical</x:v>
      </x:c>
      <x:c r="F30" s="135" t="n">
        <x:f>SQRT(4*F26*RADIANS(B30-B29)/(2*PI()*'01_基准与母线'!B6*B25))</x:f>
        <x:v>0.2810160090668359</x:v>
      </x:c>
      <x:c r="G30" s="103" t="str">
        <x:v>s</x:v>
      </x:c>
    </x:row>
    <x:row r="31" ht="15" hidden="0" customHeight="1">
      <x:c r="A31" s="103" t="str">
        <x:v>示例切除时间</x:v>
      </x:c>
      <x:c r="B31" s="111" t="n">
        <x:v>0.2</x:v>
      </x:c>
      <x:c r="C31" s="103" t="str">
        <x:v>s</x:v>
      </x:c>
      <x:c r="D31" s="103" t="str">
        <x:v>小于临界时间</x:v>
      </x:c>
      <x:c r="E31" s="103" t="str">
        <x:v>判定</x:v>
      </x:c>
      <x:c r="F31" s="135" t="str">
        <x:f>IF(B31&lt;F30,"稳定","失稳")</x:f>
        <x:v>稳定</x:v>
      </x:c>
      <x:c r="G31" s="103" t="str"/>
    </x:row>
    <x:row r="32" ht="15" hidden="0" customHeight="1">
      <x:c r="A32" s="103" t="str">
        <x:v>对比切除时间</x:v>
      </x:c>
      <x:c r="B32" s="111" t="n">
        <x:v>0.32</x:v>
      </x:c>
      <x:c r="C32" s="103" t="str">
        <x:v>s</x:v>
      </x:c>
      <x:c r="D32" s="103" t="str">
        <x:v>大于临界时间</x:v>
      </x:c>
      <x:c r="E32" s="103" t="str">
        <x:v>判定</x:v>
      </x:c>
      <x:c r="F32" s="135" t="str">
        <x:f>IF(B32&lt;F30,"稳定","失稳")</x:f>
        <x:v>失稳</x:v>
      </x:c>
      <x:c r="G32" s="103" t="str"/>
    </x:row>
    <x:row r="33" ht="36" hidden="0" customHeight="1">
      <x:c r="A33" s="104" t="str">
        <x:v>说明</x:v>
      </x:c>
      <x:c r="B33" s="104" t="str">
        <x:v>故障设在L1送端，故障切除时永久切除L1；故障前双回、故障后单回</x:v>
      </x:c>
      <x:c r="C33" s="104" t="str"/>
      <x:c r="D33" s="104" t="str"/>
      <x:c r="E33" s="104" t="str"/>
      <x:c r="F33" s="104" t="str"/>
      <x:c r="G33" s="104" t="str"/>
    </x:row>
  </x:sheetData>
  <x:mergeCells>
    <x:mergeCell ref="A1:G1"/>
    <x:mergeCell ref="A2:G2"/>
    <x:mergeCell ref="A4:G4"/>
    <x:mergeCell ref="A13:G13"/>
    <x:mergeCell ref="A23:G23"/>
  </x:mergeCells>
  <x:pageMargins left="0.7" right="0.7" top="0.75" bottom="0.75" header="0.3" footer="0.3"/>
  <x:legacyDrawing xmlns:r="http://schemas.openxmlformats.org/officeDocument/2006/relationships" r:id="R831231934ddd4a7d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28" hidden="0" customWidth="1"/>
    <x:col min="5" max="5" width="26" hidden="0" customWidth="1"/>
    <x:col min="6" max="6" width="30" hidden="0" customWidth="1"/>
  </x:cols>
  <x:sheetData>
    <x:row r="1" ht="21.600000381469727" hidden="0" customHeight="1">
      <x:c r="A1" s="108" t="str">
        <x:v>20讲参数调用与逐步披露</x:v>
      </x:c>
      <x:c r="B1" s="96"/>
      <x:c r="C1" s="96"/>
      <x:c r="D1" s="96"/>
      <x:c r="E1" s="96"/>
      <x:c r="F1" s="96"/>
    </x:row>
    <x:row r="2" ht="15" hidden="0" customHeight="1">
      <x:c r="A2" s="109" t="str">
        <x:v>避免第一讲一次性发放全部数据；每讲只开放本节需要的参数层。</x:v>
      </x:c>
      <x:c r="B2" s="96"/>
      <x:c r="C2" s="96"/>
      <x:c r="D2" s="96"/>
      <x:c r="E2" s="96"/>
      <x:c r="F2" s="96"/>
    </x:row>
    <x:row r="3" ht="15" hidden="0" customHeight="1">
      <x:c r="A3" s="96"/>
      <x:c r="B3" s="96"/>
      <x:c r="C3" s="96"/>
      <x:c r="D3" s="96"/>
      <x:c r="E3" s="96"/>
      <x:c r="F3" s="96"/>
    </x:row>
    <x:row r="4" ht="15" hidden="0" customHeight="1">
      <x:c r="A4" s="99" t="str">
        <x:v>讲次</x:v>
      </x:c>
      <x:c r="B4" s="100" t="str">
        <x:v>主题</x:v>
      </x:c>
      <x:c r="C4" s="100" t="str">
        <x:v>开放参数</x:v>
      </x:c>
      <x:c r="D4" s="100" t="str">
        <x:v>观察范围</x:v>
      </x:c>
      <x:c r="E4" s="100" t="str">
        <x:v>控制认知负荷</x:v>
      </x:c>
      <x:c r="F4" s="101" t="str">
        <x:v>对应数据表</x:v>
      </x:c>
    </x:row>
    <x:row r="5" ht="15" hidden="0" customHeight="1">
      <x:c r="A5" s="102" t="n">
        <x:v>1</x:v>
      </x:c>
      <x:c r="B5" s="102" t="str">
        <x:v>系统全貌</x:v>
      </x:c>
      <x:c r="C5" s="102" t="str">
        <x:v>拓扑、额定电压、正常负荷</x:v>
      </x:c>
      <x:c r="D5" s="102" t="str">
        <x:v>整体链路</x:v>
      </x:c>
      <x:c r="E5" s="102" t="str">
        <x:v>不出现标幺与动态参数</x:v>
      </x:c>
      <x:c r="F5" s="102" t="str">
        <x:v>02_设备铭牌</x:v>
      </x:c>
    </x:row>
    <x:row r="6" ht="15" hidden="0" customHeight="1">
      <x:c r="A6" s="103" t="n">
        <x:v>2</x:v>
      </x:c>
      <x:c r="B6" s="103" t="str">
        <x:v>线路模型</x:v>
      </x:c>
      <x:c r="C6" s="103" t="str">
        <x:v>线路长度、R/X/B有名值</x:v>
      </x:c>
      <x:c r="D6" s="103" t="str">
        <x:v>L1/L2</x:v>
      </x:c>
      <x:c r="E6" s="103" t="str">
        <x:v>从物理现象到π型模型</x:v>
      </x:c>
      <x:c r="F6" s="103" t="str">
        <x:v>02_设备铭牌</x:v>
      </x:c>
    </x:row>
    <x:row r="7" ht="15" hidden="0" customHeight="1">
      <x:c r="A7" s="103" t="n">
        <x:v>3</x:v>
      </x:c>
      <x:c r="B7" s="103" t="str">
        <x:v>变压器与负荷</x:v>
      </x:c>
      <x:c r="C7" s="103" t="str">
        <x:v>T1/T2铭牌、负荷P/Q</x:v>
      </x:c>
      <x:c r="D7" s="103" t="str">
        <x:v>T1、T2、LD</x:v>
      </x:c>
      <x:c r="E7" s="103" t="str">
        <x:v>先不讲序参数</x:v>
      </x:c>
      <x:c r="F7" s="103" t="str">
        <x:v>02_设备铭牌</x:v>
      </x:c>
    </x:row>
    <x:row r="8" ht="15" hidden="0" customHeight="1">
      <x:c r="A8" s="103" t="n">
        <x:v>4</x:v>
      </x:c>
      <x:c r="B8" s="103" t="str">
        <x:v>标幺制</x:v>
      </x:c>
      <x:c r="C8" s="103" t="str">
        <x:v>Sbase、Vbase、元件正序标幺值</x:v>
      </x:c>
      <x:c r="D8" s="103" t="str">
        <x:v>全系统</x:v>
      </x:c>
      <x:c r="E8" s="103" t="str">
        <x:v>首次形成统一等值网</x:v>
      </x:c>
      <x:c r="F8" s="103" t="str">
        <x:v>01—05表</x:v>
      </x:c>
    </x:row>
    <x:row r="9" ht="15" hidden="0" customHeight="1">
      <x:c r="A9" s="103" t="n">
        <x:v>5</x:v>
      </x:c>
      <x:c r="B9" s="103" t="str">
        <x:v>电压降落与损耗</x:v>
      </x:c>
      <x:c r="C9" s="103" t="str">
        <x:v>N0局部数据</x:v>
      </x:c>
      <x:c r="D9" s="103" t="str">
        <x:v>B3—T2—B4</x:v>
      </x:c>
      <x:c r="E9" s="103" t="str">
        <x:v>先做单支路</x:v>
      </x:c>
      <x:c r="F9" s="103" t="str">
        <x:v>01—05表</x:v>
      </x:c>
    </x:row>
    <x:row r="10" ht="15" hidden="0" customHeight="1">
      <x:c r="A10" s="103" t="n">
        <x:v>6</x:v>
      </x:c>
      <x:c r="B10" s="103" t="str">
        <x:v>简单潮流</x:v>
      </x:c>
      <x:c r="C10" s="103" t="str">
        <x:v>N0/N1</x:v>
      </x:c>
      <x:c r="D10" s="103" t="str">
        <x:v>全径向网</x:v>
      </x:c>
      <x:c r="E10" s="103" t="str">
        <x:v>比较双回与单回</x:v>
      </x:c>
      <x:c r="F10" s="103" t="str">
        <x:v>01—05表</x:v>
      </x:c>
    </x:row>
    <x:row r="11" ht="15" hidden="0" customHeight="1">
      <x:c r="A11" s="103" t="n">
        <x:v>7</x:v>
      </x:c>
      <x:c r="B11" s="103" t="str">
        <x:v>Ybus</x:v>
      </x:c>
      <x:c r="C11" s="103" t="str">
        <x:v>支路正序参数</x:v>
      </x:c>
      <x:c r="D11" s="103" t="str">
        <x:v>B1—B4</x:v>
      </x:c>
      <x:c r="E11" s="103" t="str">
        <x:v>矩阵元素有物理含义</x:v>
      </x:c>
      <x:c r="F11" s="103" t="str">
        <x:v>01—05表</x:v>
      </x:c>
    </x:row>
    <x:row r="12" ht="15" hidden="0" customHeight="1">
      <x:c r="A12" s="103" t="n">
        <x:v>8</x:v>
      </x:c>
      <x:c r="B12" s="103" t="str">
        <x:v>节点分类</x:v>
      </x:c>
      <x:c r="C12" s="103" t="str">
        <x:v>M2控制量</x:v>
      </x:c>
      <x:c r="D12" s="103" t="str">
        <x:v>B1 Slack、B3 PV、B4 PQ</x:v>
      </x:c>
      <x:c r="E12" s="103" t="str">
        <x:v>区分设备与节点类型</x:v>
      </x:c>
      <x:c r="F12" s="103" t="str">
        <x:v>01—05表</x:v>
      </x:c>
    </x:row>
    <x:row r="13" ht="15" hidden="0" customHeight="1">
      <x:c r="A13" s="103" t="n">
        <x:v>9</x:v>
      </x:c>
      <x:c r="B13" s="103" t="str">
        <x:v>NR潮流</x:v>
      </x:c>
      <x:c r="C13" s="103" t="str">
        <x:v>PF1及潮流答案基准</x:v>
      </x:c>
      <x:c r="D13" s="103" t="str">
        <x:v>全系统</x:v>
      </x:c>
      <x:c r="E13" s="103" t="str">
        <x:v>教师用校验表核对</x:v>
      </x:c>
      <x:c r="F13" s="103" t="str">
        <x:v>01—05表</x:v>
      </x:c>
    </x:row>
    <x:row r="14" ht="15" hidden="0" customHeight="1">
      <x:c r="A14" s="103" t="n">
        <x:v>10</x:v>
      </x:c>
      <x:c r="B14" s="103" t="str">
        <x:v>频率</x:v>
      </x:c>
      <x:c r="C14" s="103" t="str">
        <x:v>M3、R1/R2、D、ΔPL</x:v>
      </x:c>
      <x:c r="D14" s="103" t="str">
        <x:v>G1+G2+负荷</x:v>
      </x:c>
      <x:c r="E14" s="103" t="str">
        <x:v>暂不使用无限大系统</x:v>
      </x:c>
      <x:c r="F14" s="103" t="str">
        <x:v>01—05表</x:v>
      </x:c>
    </x:row>
    <x:row r="15" ht="15" hidden="0" customHeight="1">
      <x:c r="A15" s="103" t="n">
        <x:v>11</x:v>
      </x:c>
      <x:c r="B15" s="103" t="str">
        <x:v>电压</x:v>
      </x:c>
      <x:c r="C15" s="103" t="str">
        <x:v>H1、T2分接头、PV无功范围</x:v>
      </x:c>
      <x:c r="D15" s="103" t="str">
        <x:v>B4</x:v>
      </x:c>
      <x:c r="E15" s="103" t="str">
        <x:v>比较调压手段</x:v>
      </x:c>
      <x:c r="F15" s="103" t="str">
        <x:v>01—05表</x:v>
      </x:c>
    </x:row>
    <x:row r="16" ht="15" hidden="0" customHeight="1">
      <x:c r="A16" s="103" t="n">
        <x:v>12</x:v>
      </x:c>
      <x:c r="B16" s="103" t="str">
        <x:v>三相短路基础</x:v>
      </x:c>
      <x:c r="C16" s="103" t="str">
        <x:v>SC1、G1 Xd″、G2 X1</x:v>
      </x:c>
      <x:c r="D16" s="103" t="str">
        <x:v>B2</x:v>
      </x:c>
      <x:c r="E16" s="103" t="str">
        <x:v>正序网络</x:v>
      </x:c>
      <x:c r="F16" s="103" t="str">
        <x:v>03—06表</x:v>
      </x:c>
    </x:row>
    <x:row r="17" ht="15" hidden="0" customHeight="1">
      <x:c r="A17" s="103" t="n">
        <x:v>13</x:v>
      </x:c>
      <x:c r="B17" s="103" t="str">
        <x:v>同步机暂态</x:v>
      </x:c>
      <x:c r="C17" s="103" t="str">
        <x:v>Xd/Xd′/Xd″及时间常数</x:v>
      </x:c>
      <x:c r="D17" s="103" t="str">
        <x:v>G1</x:v>
      </x:c>
      <x:c r="E17" s="103" t="str">
        <x:v>用三阶段解释波形</x:v>
      </x:c>
      <x:c r="F17" s="103" t="str">
        <x:v>03—06表</x:v>
      </x:c>
    </x:row>
    <x:row r="18" ht="15" hidden="0" customHeight="1">
      <x:c r="A18" s="103" t="n">
        <x:v>14</x:v>
      </x:c>
      <x:c r="B18" s="103" t="str">
        <x:v>三相短路实用计算</x:v>
      </x:c>
      <x:c r="C18" s="103" t="str">
        <x:v>B2双回/单回短路校验</x:v>
      </x:c>
      <x:c r="D18" s="103" t="str">
        <x:v>全系统</x:v>
      </x:c>
      <x:c r="E18" s="103" t="str">
        <x:v>节点阻抗或戴维南</x:v>
      </x:c>
      <x:c r="F18" s="103" t="str">
        <x:v>03—06表</x:v>
      </x:c>
    </x:row>
    <x:row r="19" ht="15" hidden="0" customHeight="1">
      <x:c r="A19" s="103" t="n">
        <x:v>15</x:v>
      </x:c>
      <x:c r="B19" s="103" t="str">
        <x:v>对称分量</x:v>
      </x:c>
      <x:c r="C19" s="103" t="str">
        <x:v>B4单相接地场景</x:v>
      </x:c>
      <x:c r="D19" s="103" t="str">
        <x:v>B4</x:v>
      </x:c>
      <x:c r="E19" s="103" t="str">
        <x:v>先分解相量</x:v>
      </x:c>
      <x:c r="F19" s="103" t="str">
        <x:v>03—06表</x:v>
      </x:c>
    </x:row>
    <x:row r="20" ht="15" hidden="0" customHeight="1">
      <x:c r="A20" s="103" t="n">
        <x:v>16</x:v>
      </x:c>
      <x:c r="B20" s="103" t="str">
        <x:v>序网络与不对称故障</x:v>
      </x:c>
      <x:c r="C20" s="103" t="str">
        <x:v>全部序参数、接线与接地</x:v>
      </x:c>
      <x:c r="D20" s="103" t="str">
        <x:v>全系统</x:v>
      </x:c>
      <x:c r="E20" s="103" t="str">
        <x:v>重点比较T1和T2</x:v>
      </x:c>
      <x:c r="F20" s="103" t="str">
        <x:v>03—06表</x:v>
      </x:c>
    </x:row>
    <x:row r="21" ht="15" hidden="0" customHeight="1">
      <x:c r="A21" s="103" t="n">
        <x:v>17</x:v>
      </x:c>
      <x:c r="B21" s="103" t="str">
        <x:v>转子运动</x:v>
      </x:c>
      <x:c r="C21" s="103" t="str">
        <x:v>H、Pm、E′</x:v>
      </x:c>
      <x:c r="D21" s="103" t="str">
        <x:v>G1—G∞</x:v>
      </x:c>
      <x:c r="E21" s="103" t="str">
        <x:v>建立功率差与加速度</x:v>
      </x:c>
      <x:c r="F21" s="103" t="str">
        <x:v>03—06表</x:v>
      </x:c>
    </x:row>
    <x:row r="22" ht="15" hidden="0" customHeight="1">
      <x:c r="A22" s="103" t="n">
        <x:v>18</x:v>
      </x:c>
      <x:c r="B22" s="103" t="str">
        <x:v>静态稳定</x:v>
      </x:c>
      <x:c r="C22" s="103" t="str">
        <x:v>Xpre、Pmax_pre、δ0</x:v>
      </x:c>
      <x:c r="D22" s="103" t="str">
        <x:v>双回线</x:v>
      </x:c>
      <x:c r="E22" s="103" t="str">
        <x:v>说明线路数影响极限</x:v>
      </x:c>
      <x:c r="F22" s="103" t="str">
        <x:v>03—06表</x:v>
      </x:c>
    </x:row>
    <x:row r="23" ht="15" hidden="0" customHeight="1">
      <x:c r="A23" s="103" t="n">
        <x:v>19</x:v>
      </x:c>
      <x:c r="B23" s="103" t="str">
        <x:v>暂态稳定</x:v>
      </x:c>
      <x:c r="C23" s="103" t="str">
        <x:v>ST1、Xpost、切除时间</x:v>
      </x:c>
      <x:c r="D23" s="103" t="str">
        <x:v>L1故障切除</x:v>
      </x:c>
      <x:c r="E23" s="103" t="str">
        <x:v>等面积定则</x:v>
      </x:c>
      <x:c r="F23" s="103" t="str">
        <x:v>03—06表</x:v>
      </x:c>
    </x:row>
    <x:row r="24" ht="15" hidden="0" customHeight="1">
      <x:c r="A24" s="104" t="n">
        <x:v>20</x:v>
      </x:c>
      <x:c r="B24" s="104" t="str">
        <x:v>综合案例</x:v>
      </x:c>
      <x:c r="C24" s="104" t="str">
        <x:v>全部参数；可插入PV</x:v>
      </x:c>
      <x:c r="D24" s="104" t="str">
        <x:v>全系统</x:v>
      </x:c>
      <x:c r="E24" s="104" t="str">
        <x:v>模型选择与工程判断</x:v>
      </x:c>
      <x:c r="F24" s="104" t="str">
        <x:v>03—06表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8" hidden="0" customWidth="1"/>
    <x:col min="4" max="4" width="22" hidden="0" customWidth="1"/>
  </x:cols>
  <x:sheetData>
    <x:row r="1" ht="21.600000381469727" hidden="0" customHeight="1">
      <x:c r="A1" s="108" t="str">
        <x:v>建模口径、参数适用范围与版本管理</x:v>
      </x:c>
      <x:c r="B1" s="96"/>
      <x:c r="C1" s="96"/>
      <x:c r="D1" s="96"/>
    </x:row>
    <x:row r="2" ht="15" hidden="0" customHeight="1">
      <x:c r="A2" s="109" t="str">
        <x:v>这是一套教学基准系统，不用于实际设备选型、继电保护整定或工程设计。</x:v>
      </x:c>
      <x:c r="B2" s="96"/>
      <x:c r="C2" s="96"/>
      <x:c r="D2" s="96"/>
    </x:row>
    <x:row r="3" ht="15" hidden="0" customHeight="1">
      <x:c r="A3" s="96"/>
      <x:c r="B3" s="96"/>
      <x:c r="C3" s="96"/>
      <x:c r="D3" s="96"/>
    </x:row>
    <x:row r="4" ht="15" hidden="0" customHeight="1">
      <x:c r="A4" s="99" t="str">
        <x:v>类别</x:v>
      </x:c>
      <x:c r="B4" s="100" t="str">
        <x:v>条目</x:v>
      </x:c>
      <x:c r="C4" s="100" t="str">
        <x:v>约定</x:v>
      </x:c>
      <x:c r="D4" s="101" t="str">
        <x:v>影响</x:v>
      </x:c>
    </x:row>
    <x:row r="5" ht="15" hidden="0" customHeight="1">
      <x:c r="A5" s="102" t="str">
        <x:v>功率符号</x:v>
      </x:c>
      <x:c r="B5" s="102" t="str">
        <x:v>母线注入</x:v>
      </x:c>
      <x:c r="C5" s="102" t="str">
        <x:v>发电注入为正，负荷取正数列示时在方程中取负</x:v>
      </x:c>
      <x:c r="D5" s="102" t="str">
        <x:v>统一潮流和频率计算</x:v>
      </x:c>
    </x:row>
    <x:row r="6" ht="15" hidden="0" customHeight="1">
      <x:c r="A6" s="103" t="str">
        <x:v>相制</x:v>
      </x:c>
      <x:c r="B6" s="103" t="str">
        <x:v>稳态</x:v>
      </x:c>
      <x:c r="C6" s="103" t="str">
        <x:v>采用三相对称、一相等值</x:v>
      </x:c>
      <x:c r="D6" s="103" t="str">
        <x:v>第15讲前均适用</x:v>
      </x:c>
    </x:row>
    <x:row r="7" ht="15" hidden="0" customHeight="1">
      <x:c r="A7" s="103" t="str">
        <x:v>线路</x:v>
      </x:c>
      <x:c r="B7" s="103" t="str">
        <x:v>稳态模型</x:v>
      </x:c>
      <x:c r="C7" s="103" t="str">
        <x:v>中长线π型；简单手算时可暂略并联电纳</x:v>
      </x:c>
      <x:c r="D7" s="103" t="str">
        <x:v>按课堂层级选择</x:v>
      </x:c>
    </x:row>
    <x:row r="8" ht="15" hidden="0" customHeight="1">
      <x:c r="A8" s="103" t="str">
        <x:v>负荷</x:v>
      </x:c>
      <x:c r="B8" s="103" t="str">
        <x:v>基础模型</x:v>
      </x:c>
      <x:c r="C8" s="103" t="str">
        <x:v>恒PQ；频率课加入D=1.5的频率特性</x:v>
      </x:c>
      <x:c r="D8" s="103" t="str">
        <x:v>避免同时引入过多模型</x:v>
      </x:c>
    </x:row>
    <x:row r="9" ht="15" hidden="0" customHeight="1">
      <x:c r="A9" s="103" t="str">
        <x:v>故障</x:v>
      </x:c>
      <x:c r="B9" s="103" t="str">
        <x:v>基础故障</x:v>
      </x:c>
      <x:c r="C9" s="103" t="str">
        <x:v>金属性短路Zf=0；非周期分量另按时间常数处理</x:v>
      </x:c>
      <x:c r="D9" s="103" t="str">
        <x:v>便于形成基准答案</x:v>
      </x:c>
    </x:row>
    <x:row r="10" ht="15" hidden="0" customHeight="1">
      <x:c r="A10" s="103" t="str">
        <x:v>稳定</x:v>
      </x:c>
      <x:c r="B10" s="103" t="str">
        <x:v>经典模型</x:v>
      </x:c>
      <x:c r="C10" s="103" t="str">
        <x:v>G1采用E′恒定、忽略调速与励磁、D=0</x:v>
      </x:c>
      <x:c r="D10" s="103" t="str">
        <x:v>用于等面积定则</x:v>
      </x:c>
    </x:row>
    <x:row r="11" ht="15" hidden="0" customHeight="1">
      <x:c r="A11" s="103" t="str">
        <x:v>外部系统</x:v>
      </x:c>
      <x:c r="B11" s="103" t="str">
        <x:v>等值切换</x:v>
      </x:c>
      <x:c r="C11" s="103" t="str">
        <x:v>M2为PV，M3为有限机组，M4为无限大系统</x:v>
      </x:c>
      <x:c r="D11" s="103" t="str">
        <x:v>拓扑不变，模型角色改变</x:v>
      </x:c>
    </x:row>
    <x:row r="12" ht="15" hidden="0" customHeight="1">
      <x:c r="A12" s="103" t="str">
        <x:v>精度</x:v>
      </x:c>
      <x:c r="B12" s="103" t="str">
        <x:v>课堂参数</x:v>
      </x:c>
      <x:c r="C12" s="103" t="str">
        <x:v>标幺值保留3—5位；潮流答案保留5位</x:v>
      </x:c>
      <x:c r="D12" s="103" t="str">
        <x:v>避免累计舍入误差</x:v>
      </x:c>
    </x:row>
    <x:row r="13" ht="15" hidden="0" customHeight="1">
      <x:c r="A13" s="103" t="str">
        <x:v>适用性</x:v>
      </x:c>
      <x:c r="B13" s="103" t="str">
        <x:v>禁止用途</x:v>
      </x:c>
      <x:c r="C13" s="103" t="str">
        <x:v>不用于设备采购、保护定值或电网运行决策</x:v>
      </x:c>
      <x:c r="D13" s="103" t="str">
        <x:v>教学化参数</x:v>
      </x:c>
    </x:row>
    <x:row r="14" ht="24" hidden="0" customHeight="1">
      <x:c r="A14" s="104" t="str">
        <x:v>来源</x:v>
      </x:c>
      <x:c r="B14" s="104" t="str">
        <x:v>现有材料</x:v>
      </x:c>
      <x:c r="C14" s="104" t="str">
        <x:v>第1讲绪论.pptx；第2—20讲现有课件；课程教学大纲</x:v>
      </x:c>
      <x:c r="D14" s="104" t="str">
        <x:v>用于确定教学主题与参数字段</x:v>
      </x:c>
    </x:row>
    <x:row r="15" ht="15" hidden="0" customHeight="1">
      <x:c r="A15" s="96" t="str">
        <x:v>设计</x:v>
      </x:c>
      <x:c r="B15" s="96" t="str">
        <x:v>本参数体系</x:v>
      </x:c>
      <x:c r="C15" s="96" t="str">
        <x:v>四母线母体系统、场景和数值为本轮教学设计形成</x:v>
      </x:c>
      <x:c r="D15" s="96" t="str">
        <x:v>经独立潮流/短路/稳定量级校验</x:v>
      </x:c>
    </x:row>
    <x:row r="16" ht="15" hidden="0" customHeight="1">
      <x:c r="A16" s="96" t="str">
        <x:v>版本</x:v>
      </x:c>
      <x:c r="B16" s="96" t="str">
        <x:v>v1.0</x:v>
      </x:c>
      <x:c r="C16" s="96" t="str">
        <x:v>2026-08-01</x:v>
      </x:c>
      <x:c r="D16" s="96" t="str">
        <x:v>后续课件如调整参数，应同步修改本工作簿</x:v>
      </x:c>
    </x:row>
  </x:sheetData>
  <x:mergeCells>
    <x:mergeCell ref="A1:D1"/>
    <x:mergeCell ref="A2:D2"/>
  </x:mergeCells>
  <x:pageMargins left="0.7" right="0.7" top="0.75" bottom="0.75" header="0.3" footer="0.3"/>
</x:worksheet>
</file>